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9d2e0a79c81fe4/Desktop/HHS Data Analysis Project/"/>
    </mc:Choice>
  </mc:AlternateContent>
  <xr:revisionPtr revIDLastSave="470" documentId="8_{3DA9C01E-F9A5-4B6D-B0B9-28E7320914FD}" xr6:coauthVersionLast="47" xr6:coauthVersionMax="47" xr10:uidLastSave="{5ED9A7D3-333A-44DF-A1A3-AC0C8BF21800}"/>
  <bookViews>
    <workbookView xWindow="5760" yWindow="3360" windowWidth="17280" windowHeight="8880" xr2:uid="{B0CE4A88-18A9-4F4B-91F8-3D934D409DBC}"/>
  </bookViews>
  <sheets>
    <sheet name="HHS_Unaccompanied_Alien_Child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M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10" i="1"/>
  <c r="R611" i="1"/>
  <c r="R612" i="1"/>
  <c r="R613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Q309" i="1"/>
  <c r="Q597" i="1"/>
  <c r="O21" i="1"/>
  <c r="O28" i="1"/>
  <c r="O40" i="1"/>
  <c r="O93" i="1"/>
  <c r="O100" i="1"/>
  <c r="O112" i="1"/>
  <c r="O165" i="1"/>
  <c r="O172" i="1"/>
  <c r="O184" i="1"/>
  <c r="O237" i="1"/>
  <c r="O244" i="1"/>
  <c r="O256" i="1"/>
  <c r="O303" i="1"/>
  <c r="O304" i="1"/>
  <c r="O315" i="1"/>
  <c r="O316" i="1"/>
  <c r="O327" i="1"/>
  <c r="O328" i="1"/>
  <c r="O339" i="1"/>
  <c r="O340" i="1"/>
  <c r="O351" i="1"/>
  <c r="O352" i="1"/>
  <c r="O363" i="1"/>
  <c r="O364" i="1"/>
  <c r="O375" i="1"/>
  <c r="O376" i="1"/>
  <c r="O387" i="1"/>
  <c r="O388" i="1"/>
  <c r="O399" i="1"/>
  <c r="O400" i="1"/>
  <c r="O411" i="1"/>
  <c r="O412" i="1"/>
  <c r="O423" i="1"/>
  <c r="O424" i="1"/>
  <c r="O435" i="1"/>
  <c r="O436" i="1"/>
  <c r="O581" i="1"/>
  <c r="O584" i="1"/>
  <c r="O593" i="1"/>
  <c r="O605" i="1"/>
  <c r="O608" i="1"/>
  <c r="O617" i="1"/>
  <c r="O629" i="1"/>
  <c r="O633" i="1"/>
  <c r="O645" i="1"/>
  <c r="O670" i="1"/>
  <c r="O718" i="1"/>
  <c r="N35" i="1"/>
  <c r="P35" i="1" s="1"/>
  <c r="N46" i="1"/>
  <c r="P46" i="1" s="1"/>
  <c r="N83" i="1"/>
  <c r="P83" i="1" s="1"/>
  <c r="N94" i="1"/>
  <c r="P94" i="1" s="1"/>
  <c r="N131" i="1"/>
  <c r="P131" i="1" s="1"/>
  <c r="N142" i="1"/>
  <c r="P142" i="1" s="1"/>
  <c r="N179" i="1"/>
  <c r="P179" i="1" s="1"/>
  <c r="N190" i="1"/>
  <c r="P190" i="1" s="1"/>
  <c r="N227" i="1"/>
  <c r="P227" i="1" s="1"/>
  <c r="N238" i="1"/>
  <c r="P238" i="1" s="1"/>
  <c r="N275" i="1"/>
  <c r="P275" i="1" s="1"/>
  <c r="N286" i="1"/>
  <c r="P286" i="1" s="1"/>
  <c r="N323" i="1"/>
  <c r="P323" i="1" s="1"/>
  <c r="N334" i="1"/>
  <c r="P334" i="1" s="1"/>
  <c r="N371" i="1"/>
  <c r="P371" i="1" s="1"/>
  <c r="N382" i="1"/>
  <c r="P382" i="1" s="1"/>
  <c r="N419" i="1"/>
  <c r="P419" i="1" s="1"/>
  <c r="N430" i="1"/>
  <c r="P430" i="1" s="1"/>
  <c r="N467" i="1"/>
  <c r="P467" i="1" s="1"/>
  <c r="N478" i="1"/>
  <c r="P478" i="1" s="1"/>
  <c r="N514" i="1"/>
  <c r="P514" i="1" s="1"/>
  <c r="N550" i="1"/>
  <c r="P550" i="1" s="1"/>
  <c r="N586" i="1"/>
  <c r="P586" i="1" s="1"/>
  <c r="N622" i="1"/>
  <c r="P622" i="1" s="1"/>
  <c r="N658" i="1"/>
  <c r="P658" i="1" s="1"/>
  <c r="N694" i="1"/>
  <c r="P694" i="1" s="1"/>
  <c r="N721" i="1"/>
  <c r="P721" i="1" s="1"/>
  <c r="M3" i="1"/>
  <c r="M4" i="1"/>
  <c r="O3" i="1" s="1"/>
  <c r="M5" i="1"/>
  <c r="N4" i="1" s="1"/>
  <c r="P4" i="1" s="1"/>
  <c r="M6" i="1"/>
  <c r="O5" i="1" s="1"/>
  <c r="M7" i="1"/>
  <c r="M8" i="1"/>
  <c r="M9" i="1"/>
  <c r="O8" i="1" s="1"/>
  <c r="M10" i="1"/>
  <c r="O9" i="1" s="1"/>
  <c r="M11" i="1"/>
  <c r="O10" i="1" s="1"/>
  <c r="M12" i="1"/>
  <c r="M13" i="1"/>
  <c r="M14" i="1"/>
  <c r="O13" i="1" s="1"/>
  <c r="M15" i="1"/>
  <c r="M16" i="1"/>
  <c r="O15" i="1" s="1"/>
  <c r="M17" i="1"/>
  <c r="N16" i="1" s="1"/>
  <c r="P16" i="1" s="1"/>
  <c r="M18" i="1"/>
  <c r="O17" i="1" s="1"/>
  <c r="M19" i="1"/>
  <c r="M20" i="1"/>
  <c r="M21" i="1"/>
  <c r="O20" i="1" s="1"/>
  <c r="M22" i="1"/>
  <c r="N21" i="1" s="1"/>
  <c r="P21" i="1" s="1"/>
  <c r="M23" i="1"/>
  <c r="O22" i="1" s="1"/>
  <c r="M24" i="1"/>
  <c r="M25" i="1"/>
  <c r="M26" i="1"/>
  <c r="O25" i="1" s="1"/>
  <c r="M27" i="1"/>
  <c r="M28" i="1"/>
  <c r="O27" i="1" s="1"/>
  <c r="M29" i="1"/>
  <c r="N28" i="1" s="1"/>
  <c r="P28" i="1" s="1"/>
  <c r="M30" i="1"/>
  <c r="O29" i="1" s="1"/>
  <c r="M31" i="1"/>
  <c r="M32" i="1"/>
  <c r="M33" i="1"/>
  <c r="O32" i="1" s="1"/>
  <c r="M34" i="1"/>
  <c r="N33" i="1" s="1"/>
  <c r="P33" i="1" s="1"/>
  <c r="M35" i="1"/>
  <c r="O34" i="1" s="1"/>
  <c r="M36" i="1"/>
  <c r="M37" i="1"/>
  <c r="M38" i="1"/>
  <c r="O37" i="1" s="1"/>
  <c r="M39" i="1"/>
  <c r="M40" i="1"/>
  <c r="O39" i="1" s="1"/>
  <c r="M41" i="1"/>
  <c r="N40" i="1" s="1"/>
  <c r="P40" i="1" s="1"/>
  <c r="M42" i="1"/>
  <c r="O41" i="1" s="1"/>
  <c r="M43" i="1"/>
  <c r="M44" i="1"/>
  <c r="M45" i="1"/>
  <c r="O44" i="1" s="1"/>
  <c r="M46" i="1"/>
  <c r="O45" i="1" s="1"/>
  <c r="M47" i="1"/>
  <c r="O46" i="1" s="1"/>
  <c r="M48" i="1"/>
  <c r="M49" i="1"/>
  <c r="M50" i="1"/>
  <c r="O49" i="1" s="1"/>
  <c r="M51" i="1"/>
  <c r="M52" i="1"/>
  <c r="O51" i="1" s="1"/>
  <c r="M53" i="1"/>
  <c r="O52" i="1" s="1"/>
  <c r="M54" i="1"/>
  <c r="O53" i="1" s="1"/>
  <c r="M55" i="1"/>
  <c r="M56" i="1"/>
  <c r="M57" i="1"/>
  <c r="O56" i="1" s="1"/>
  <c r="M58" i="1"/>
  <c r="O57" i="1" s="1"/>
  <c r="M59" i="1"/>
  <c r="O58" i="1" s="1"/>
  <c r="M60" i="1"/>
  <c r="M61" i="1"/>
  <c r="M62" i="1"/>
  <c r="O61" i="1" s="1"/>
  <c r="M63" i="1"/>
  <c r="M64" i="1"/>
  <c r="O63" i="1" s="1"/>
  <c r="M65" i="1"/>
  <c r="N64" i="1" s="1"/>
  <c r="P64" i="1" s="1"/>
  <c r="M66" i="1"/>
  <c r="O65" i="1" s="1"/>
  <c r="M67" i="1"/>
  <c r="M68" i="1"/>
  <c r="M69" i="1"/>
  <c r="O68" i="1" s="1"/>
  <c r="M70" i="1"/>
  <c r="O69" i="1" s="1"/>
  <c r="M71" i="1"/>
  <c r="O70" i="1" s="1"/>
  <c r="M72" i="1"/>
  <c r="M73" i="1"/>
  <c r="M74" i="1"/>
  <c r="O73" i="1" s="1"/>
  <c r="M75" i="1"/>
  <c r="M76" i="1"/>
  <c r="O75" i="1" s="1"/>
  <c r="M77" i="1"/>
  <c r="N76" i="1" s="1"/>
  <c r="P76" i="1" s="1"/>
  <c r="M78" i="1"/>
  <c r="O77" i="1" s="1"/>
  <c r="M79" i="1"/>
  <c r="M80" i="1"/>
  <c r="M81" i="1"/>
  <c r="O80" i="1" s="1"/>
  <c r="M82" i="1"/>
  <c r="O81" i="1" s="1"/>
  <c r="M83" i="1"/>
  <c r="O82" i="1" s="1"/>
  <c r="M84" i="1"/>
  <c r="M85" i="1"/>
  <c r="M86" i="1"/>
  <c r="O85" i="1" s="1"/>
  <c r="M87" i="1"/>
  <c r="M88" i="1"/>
  <c r="O87" i="1" s="1"/>
  <c r="M89" i="1"/>
  <c r="N88" i="1" s="1"/>
  <c r="P88" i="1" s="1"/>
  <c r="M90" i="1"/>
  <c r="O89" i="1" s="1"/>
  <c r="M91" i="1"/>
  <c r="M92" i="1"/>
  <c r="M93" i="1"/>
  <c r="O92" i="1" s="1"/>
  <c r="M94" i="1"/>
  <c r="N93" i="1" s="1"/>
  <c r="P93" i="1" s="1"/>
  <c r="M95" i="1"/>
  <c r="O94" i="1" s="1"/>
  <c r="M96" i="1"/>
  <c r="M97" i="1"/>
  <c r="M98" i="1"/>
  <c r="O97" i="1" s="1"/>
  <c r="M99" i="1"/>
  <c r="M100" i="1"/>
  <c r="O99" i="1" s="1"/>
  <c r="M101" i="1"/>
  <c r="N100" i="1" s="1"/>
  <c r="P100" i="1" s="1"/>
  <c r="M102" i="1"/>
  <c r="O101" i="1" s="1"/>
  <c r="M103" i="1"/>
  <c r="M104" i="1"/>
  <c r="M105" i="1"/>
  <c r="O104" i="1" s="1"/>
  <c r="M106" i="1"/>
  <c r="N105" i="1" s="1"/>
  <c r="P105" i="1" s="1"/>
  <c r="M107" i="1"/>
  <c r="O106" i="1" s="1"/>
  <c r="M108" i="1"/>
  <c r="M109" i="1"/>
  <c r="M110" i="1"/>
  <c r="O109" i="1" s="1"/>
  <c r="M111" i="1"/>
  <c r="M112" i="1"/>
  <c r="O111" i="1" s="1"/>
  <c r="M113" i="1"/>
  <c r="N112" i="1" s="1"/>
  <c r="P112" i="1" s="1"/>
  <c r="M114" i="1"/>
  <c r="O113" i="1" s="1"/>
  <c r="M115" i="1"/>
  <c r="M116" i="1"/>
  <c r="M117" i="1"/>
  <c r="O116" i="1" s="1"/>
  <c r="M118" i="1"/>
  <c r="O117" i="1" s="1"/>
  <c r="M119" i="1"/>
  <c r="O118" i="1" s="1"/>
  <c r="M120" i="1"/>
  <c r="M121" i="1"/>
  <c r="M122" i="1"/>
  <c r="O121" i="1" s="1"/>
  <c r="M123" i="1"/>
  <c r="M124" i="1"/>
  <c r="O123" i="1" s="1"/>
  <c r="M125" i="1"/>
  <c r="O124" i="1" s="1"/>
  <c r="M126" i="1"/>
  <c r="O125" i="1" s="1"/>
  <c r="M127" i="1"/>
  <c r="M128" i="1"/>
  <c r="M129" i="1"/>
  <c r="M130" i="1"/>
  <c r="O129" i="1" s="1"/>
  <c r="M131" i="1"/>
  <c r="O130" i="1" s="1"/>
  <c r="M132" i="1"/>
  <c r="M133" i="1"/>
  <c r="M134" i="1"/>
  <c r="O133" i="1" s="1"/>
  <c r="M135" i="1"/>
  <c r="M136" i="1"/>
  <c r="O135" i="1" s="1"/>
  <c r="M137" i="1"/>
  <c r="N136" i="1" s="1"/>
  <c r="P136" i="1" s="1"/>
  <c r="M138" i="1"/>
  <c r="O137" i="1" s="1"/>
  <c r="M139" i="1"/>
  <c r="M140" i="1"/>
  <c r="M141" i="1"/>
  <c r="M142" i="1"/>
  <c r="O141" i="1" s="1"/>
  <c r="M143" i="1"/>
  <c r="O142" i="1" s="1"/>
  <c r="M144" i="1"/>
  <c r="M145" i="1"/>
  <c r="M146" i="1"/>
  <c r="O145" i="1" s="1"/>
  <c r="M147" i="1"/>
  <c r="M148" i="1"/>
  <c r="O147" i="1" s="1"/>
  <c r="M149" i="1"/>
  <c r="N148" i="1" s="1"/>
  <c r="P148" i="1" s="1"/>
  <c r="M150" i="1"/>
  <c r="O149" i="1" s="1"/>
  <c r="M151" i="1"/>
  <c r="M152" i="1"/>
  <c r="M153" i="1"/>
  <c r="M154" i="1"/>
  <c r="O153" i="1" s="1"/>
  <c r="M155" i="1"/>
  <c r="O154" i="1" s="1"/>
  <c r="M156" i="1"/>
  <c r="M157" i="1"/>
  <c r="M158" i="1"/>
  <c r="O157" i="1" s="1"/>
  <c r="M159" i="1"/>
  <c r="M160" i="1"/>
  <c r="O159" i="1" s="1"/>
  <c r="M161" i="1"/>
  <c r="N160" i="1" s="1"/>
  <c r="P160" i="1" s="1"/>
  <c r="M162" i="1"/>
  <c r="O161" i="1" s="1"/>
  <c r="M163" i="1"/>
  <c r="M164" i="1"/>
  <c r="M165" i="1"/>
  <c r="M166" i="1"/>
  <c r="N165" i="1" s="1"/>
  <c r="P165" i="1" s="1"/>
  <c r="M167" i="1"/>
  <c r="O166" i="1" s="1"/>
  <c r="M168" i="1"/>
  <c r="M169" i="1"/>
  <c r="M170" i="1"/>
  <c r="O169" i="1" s="1"/>
  <c r="M171" i="1"/>
  <c r="M172" i="1"/>
  <c r="O171" i="1" s="1"/>
  <c r="M173" i="1"/>
  <c r="N172" i="1" s="1"/>
  <c r="P172" i="1" s="1"/>
  <c r="M174" i="1"/>
  <c r="O173" i="1" s="1"/>
  <c r="M175" i="1"/>
  <c r="M176" i="1"/>
  <c r="M177" i="1"/>
  <c r="M178" i="1"/>
  <c r="N177" i="1" s="1"/>
  <c r="P177" i="1" s="1"/>
  <c r="M179" i="1"/>
  <c r="O178" i="1" s="1"/>
  <c r="M180" i="1"/>
  <c r="M181" i="1"/>
  <c r="M182" i="1"/>
  <c r="O181" i="1" s="1"/>
  <c r="M183" i="1"/>
  <c r="M184" i="1"/>
  <c r="O183" i="1" s="1"/>
  <c r="M185" i="1"/>
  <c r="N184" i="1" s="1"/>
  <c r="P184" i="1" s="1"/>
  <c r="M186" i="1"/>
  <c r="O185" i="1" s="1"/>
  <c r="M187" i="1"/>
  <c r="M188" i="1"/>
  <c r="M189" i="1"/>
  <c r="M190" i="1"/>
  <c r="O189" i="1" s="1"/>
  <c r="M191" i="1"/>
  <c r="O190" i="1" s="1"/>
  <c r="M192" i="1"/>
  <c r="M193" i="1"/>
  <c r="M194" i="1"/>
  <c r="O193" i="1" s="1"/>
  <c r="M195" i="1"/>
  <c r="M196" i="1"/>
  <c r="O195" i="1" s="1"/>
  <c r="M197" i="1"/>
  <c r="O196" i="1" s="1"/>
  <c r="M198" i="1"/>
  <c r="O197" i="1" s="1"/>
  <c r="M199" i="1"/>
  <c r="M200" i="1"/>
  <c r="M201" i="1"/>
  <c r="M202" i="1"/>
  <c r="O201" i="1" s="1"/>
  <c r="M203" i="1"/>
  <c r="O202" i="1" s="1"/>
  <c r="M204" i="1"/>
  <c r="M205" i="1"/>
  <c r="M206" i="1"/>
  <c r="O205" i="1" s="1"/>
  <c r="M207" i="1"/>
  <c r="M208" i="1"/>
  <c r="O207" i="1" s="1"/>
  <c r="M209" i="1"/>
  <c r="N208" i="1" s="1"/>
  <c r="P208" i="1" s="1"/>
  <c r="M210" i="1"/>
  <c r="O209" i="1" s="1"/>
  <c r="M211" i="1"/>
  <c r="M212" i="1"/>
  <c r="M213" i="1"/>
  <c r="M214" i="1"/>
  <c r="O213" i="1" s="1"/>
  <c r="M215" i="1"/>
  <c r="O214" i="1" s="1"/>
  <c r="M216" i="1"/>
  <c r="M217" i="1"/>
  <c r="M218" i="1"/>
  <c r="O217" i="1" s="1"/>
  <c r="M219" i="1"/>
  <c r="M220" i="1"/>
  <c r="O219" i="1" s="1"/>
  <c r="M221" i="1"/>
  <c r="N220" i="1" s="1"/>
  <c r="P220" i="1" s="1"/>
  <c r="M222" i="1"/>
  <c r="O221" i="1" s="1"/>
  <c r="M223" i="1"/>
  <c r="M224" i="1"/>
  <c r="M225" i="1"/>
  <c r="M226" i="1"/>
  <c r="O225" i="1" s="1"/>
  <c r="M227" i="1"/>
  <c r="O226" i="1" s="1"/>
  <c r="M228" i="1"/>
  <c r="M229" i="1"/>
  <c r="M230" i="1"/>
  <c r="O229" i="1" s="1"/>
  <c r="M231" i="1"/>
  <c r="M232" i="1"/>
  <c r="O231" i="1" s="1"/>
  <c r="M233" i="1"/>
  <c r="N232" i="1" s="1"/>
  <c r="P232" i="1" s="1"/>
  <c r="M234" i="1"/>
  <c r="O233" i="1" s="1"/>
  <c r="M235" i="1"/>
  <c r="M236" i="1"/>
  <c r="M237" i="1"/>
  <c r="M238" i="1"/>
  <c r="N237" i="1" s="1"/>
  <c r="P237" i="1" s="1"/>
  <c r="M239" i="1"/>
  <c r="O238" i="1" s="1"/>
  <c r="M240" i="1"/>
  <c r="M241" i="1"/>
  <c r="M242" i="1"/>
  <c r="O241" i="1" s="1"/>
  <c r="M243" i="1"/>
  <c r="M244" i="1"/>
  <c r="O243" i="1" s="1"/>
  <c r="M245" i="1"/>
  <c r="N244" i="1" s="1"/>
  <c r="P244" i="1" s="1"/>
  <c r="M246" i="1"/>
  <c r="O245" i="1" s="1"/>
  <c r="M247" i="1"/>
  <c r="M248" i="1"/>
  <c r="M249" i="1"/>
  <c r="M250" i="1"/>
  <c r="N249" i="1" s="1"/>
  <c r="P249" i="1" s="1"/>
  <c r="M251" i="1"/>
  <c r="O250" i="1" s="1"/>
  <c r="M252" i="1"/>
  <c r="M253" i="1"/>
  <c r="M254" i="1"/>
  <c r="O253" i="1" s="1"/>
  <c r="M255" i="1"/>
  <c r="M256" i="1"/>
  <c r="O255" i="1" s="1"/>
  <c r="M257" i="1"/>
  <c r="N256" i="1" s="1"/>
  <c r="P256" i="1" s="1"/>
  <c r="M258" i="1"/>
  <c r="O257" i="1" s="1"/>
  <c r="M259" i="1"/>
  <c r="M260" i="1"/>
  <c r="M261" i="1"/>
  <c r="M262" i="1"/>
  <c r="O261" i="1" s="1"/>
  <c r="M263" i="1"/>
  <c r="O262" i="1" s="1"/>
  <c r="M264" i="1"/>
  <c r="M265" i="1"/>
  <c r="M266" i="1"/>
  <c r="O265" i="1" s="1"/>
  <c r="M267" i="1"/>
  <c r="M268" i="1"/>
  <c r="O267" i="1" s="1"/>
  <c r="M269" i="1"/>
  <c r="O268" i="1" s="1"/>
  <c r="M270" i="1"/>
  <c r="O269" i="1" s="1"/>
  <c r="M271" i="1"/>
  <c r="M272" i="1"/>
  <c r="M273" i="1"/>
  <c r="M274" i="1"/>
  <c r="O273" i="1" s="1"/>
  <c r="M275" i="1"/>
  <c r="O274" i="1" s="1"/>
  <c r="M276" i="1"/>
  <c r="M277" i="1"/>
  <c r="M278" i="1"/>
  <c r="O277" i="1" s="1"/>
  <c r="M279" i="1"/>
  <c r="M280" i="1"/>
  <c r="O279" i="1" s="1"/>
  <c r="M281" i="1"/>
  <c r="N280" i="1" s="1"/>
  <c r="P280" i="1" s="1"/>
  <c r="M282" i="1"/>
  <c r="O281" i="1" s="1"/>
  <c r="M283" i="1"/>
  <c r="M284" i="1"/>
  <c r="M285" i="1"/>
  <c r="M286" i="1"/>
  <c r="O285" i="1" s="1"/>
  <c r="M287" i="1"/>
  <c r="O286" i="1" s="1"/>
  <c r="M288" i="1"/>
  <c r="M289" i="1"/>
  <c r="M290" i="1"/>
  <c r="O289" i="1" s="1"/>
  <c r="M291" i="1"/>
  <c r="M292" i="1"/>
  <c r="O291" i="1" s="1"/>
  <c r="M293" i="1"/>
  <c r="N292" i="1" s="1"/>
  <c r="P292" i="1" s="1"/>
  <c r="M294" i="1"/>
  <c r="O293" i="1" s="1"/>
  <c r="M295" i="1"/>
  <c r="M296" i="1"/>
  <c r="M297" i="1"/>
  <c r="M298" i="1"/>
  <c r="O297" i="1" s="1"/>
  <c r="M299" i="1"/>
  <c r="O298" i="1" s="1"/>
  <c r="M300" i="1"/>
  <c r="M301" i="1"/>
  <c r="M302" i="1"/>
  <c r="O301" i="1" s="1"/>
  <c r="M303" i="1"/>
  <c r="M304" i="1"/>
  <c r="N303" i="1" s="1"/>
  <c r="P303" i="1" s="1"/>
  <c r="M305" i="1"/>
  <c r="N304" i="1" s="1"/>
  <c r="P304" i="1" s="1"/>
  <c r="M306" i="1"/>
  <c r="N305" i="1" s="1"/>
  <c r="P305" i="1" s="1"/>
  <c r="M307" i="1"/>
  <c r="N306" i="1" s="1"/>
  <c r="P306" i="1" s="1"/>
  <c r="M308" i="1"/>
  <c r="M309" i="1"/>
  <c r="O308" i="1" s="1"/>
  <c r="M310" i="1"/>
  <c r="O309" i="1" s="1"/>
  <c r="M311" i="1"/>
  <c r="O310" i="1" s="1"/>
  <c r="M312" i="1"/>
  <c r="M313" i="1"/>
  <c r="M314" i="1"/>
  <c r="O313" i="1" s="1"/>
  <c r="M315" i="1"/>
  <c r="M316" i="1"/>
  <c r="N315" i="1" s="1"/>
  <c r="P315" i="1" s="1"/>
  <c r="M317" i="1"/>
  <c r="N316" i="1" s="1"/>
  <c r="P316" i="1" s="1"/>
  <c r="M318" i="1"/>
  <c r="N317" i="1" s="1"/>
  <c r="P317" i="1" s="1"/>
  <c r="M319" i="1"/>
  <c r="N318" i="1" s="1"/>
  <c r="P318" i="1" s="1"/>
  <c r="M320" i="1"/>
  <c r="M321" i="1"/>
  <c r="O320" i="1" s="1"/>
  <c r="M322" i="1"/>
  <c r="O321" i="1" s="1"/>
  <c r="M323" i="1"/>
  <c r="O322" i="1" s="1"/>
  <c r="M324" i="1"/>
  <c r="M325" i="1"/>
  <c r="M326" i="1"/>
  <c r="O325" i="1" s="1"/>
  <c r="M327" i="1"/>
  <c r="M328" i="1"/>
  <c r="N327" i="1" s="1"/>
  <c r="P327" i="1" s="1"/>
  <c r="M329" i="1"/>
  <c r="N328" i="1" s="1"/>
  <c r="P328" i="1" s="1"/>
  <c r="M330" i="1"/>
  <c r="N329" i="1" s="1"/>
  <c r="P329" i="1" s="1"/>
  <c r="M331" i="1"/>
  <c r="N330" i="1" s="1"/>
  <c r="P330" i="1" s="1"/>
  <c r="M332" i="1"/>
  <c r="M333" i="1"/>
  <c r="O332" i="1" s="1"/>
  <c r="M334" i="1"/>
  <c r="O333" i="1" s="1"/>
  <c r="M335" i="1"/>
  <c r="O334" i="1" s="1"/>
  <c r="M336" i="1"/>
  <c r="M337" i="1"/>
  <c r="M338" i="1"/>
  <c r="O337" i="1" s="1"/>
  <c r="M339" i="1"/>
  <c r="M340" i="1"/>
  <c r="N339" i="1" s="1"/>
  <c r="P339" i="1" s="1"/>
  <c r="M341" i="1"/>
  <c r="N340" i="1" s="1"/>
  <c r="P340" i="1" s="1"/>
  <c r="M342" i="1"/>
  <c r="N341" i="1" s="1"/>
  <c r="P341" i="1" s="1"/>
  <c r="M343" i="1"/>
  <c r="N342" i="1" s="1"/>
  <c r="P342" i="1" s="1"/>
  <c r="M344" i="1"/>
  <c r="M345" i="1"/>
  <c r="O344" i="1" s="1"/>
  <c r="M346" i="1"/>
  <c r="O345" i="1" s="1"/>
  <c r="M347" i="1"/>
  <c r="O346" i="1" s="1"/>
  <c r="M348" i="1"/>
  <c r="M349" i="1"/>
  <c r="M350" i="1"/>
  <c r="O349" i="1" s="1"/>
  <c r="M351" i="1"/>
  <c r="M352" i="1"/>
  <c r="N351" i="1" s="1"/>
  <c r="P351" i="1" s="1"/>
  <c r="M353" i="1"/>
  <c r="N352" i="1" s="1"/>
  <c r="P352" i="1" s="1"/>
  <c r="M354" i="1"/>
  <c r="N353" i="1" s="1"/>
  <c r="P353" i="1" s="1"/>
  <c r="M355" i="1"/>
  <c r="N354" i="1" s="1"/>
  <c r="P354" i="1" s="1"/>
  <c r="M356" i="1"/>
  <c r="M357" i="1"/>
  <c r="O356" i="1" s="1"/>
  <c r="M358" i="1"/>
  <c r="O357" i="1" s="1"/>
  <c r="M359" i="1"/>
  <c r="O358" i="1" s="1"/>
  <c r="M360" i="1"/>
  <c r="M361" i="1"/>
  <c r="M362" i="1"/>
  <c r="O361" i="1" s="1"/>
  <c r="M363" i="1"/>
  <c r="M364" i="1"/>
  <c r="N363" i="1" s="1"/>
  <c r="P363" i="1" s="1"/>
  <c r="M365" i="1"/>
  <c r="N364" i="1" s="1"/>
  <c r="P364" i="1" s="1"/>
  <c r="M366" i="1"/>
  <c r="N365" i="1" s="1"/>
  <c r="P365" i="1" s="1"/>
  <c r="M367" i="1"/>
  <c r="N366" i="1" s="1"/>
  <c r="P366" i="1" s="1"/>
  <c r="M368" i="1"/>
  <c r="M369" i="1"/>
  <c r="O368" i="1" s="1"/>
  <c r="M370" i="1"/>
  <c r="O369" i="1" s="1"/>
  <c r="M371" i="1"/>
  <c r="O370" i="1" s="1"/>
  <c r="M372" i="1"/>
  <c r="M373" i="1"/>
  <c r="M374" i="1"/>
  <c r="O373" i="1" s="1"/>
  <c r="M375" i="1"/>
  <c r="M376" i="1"/>
  <c r="N375" i="1" s="1"/>
  <c r="P375" i="1" s="1"/>
  <c r="M377" i="1"/>
  <c r="N376" i="1" s="1"/>
  <c r="P376" i="1" s="1"/>
  <c r="M378" i="1"/>
  <c r="N377" i="1" s="1"/>
  <c r="P377" i="1" s="1"/>
  <c r="M379" i="1"/>
  <c r="N378" i="1" s="1"/>
  <c r="P378" i="1" s="1"/>
  <c r="M380" i="1"/>
  <c r="M381" i="1"/>
  <c r="O380" i="1" s="1"/>
  <c r="M382" i="1"/>
  <c r="O381" i="1" s="1"/>
  <c r="M383" i="1"/>
  <c r="O382" i="1" s="1"/>
  <c r="M384" i="1"/>
  <c r="M385" i="1"/>
  <c r="M386" i="1"/>
  <c r="O385" i="1" s="1"/>
  <c r="M387" i="1"/>
  <c r="M388" i="1"/>
  <c r="N387" i="1" s="1"/>
  <c r="P387" i="1" s="1"/>
  <c r="M389" i="1"/>
  <c r="N388" i="1" s="1"/>
  <c r="P388" i="1" s="1"/>
  <c r="M390" i="1"/>
  <c r="N389" i="1" s="1"/>
  <c r="P389" i="1" s="1"/>
  <c r="M391" i="1"/>
  <c r="N390" i="1" s="1"/>
  <c r="P390" i="1" s="1"/>
  <c r="M392" i="1"/>
  <c r="M393" i="1"/>
  <c r="O392" i="1" s="1"/>
  <c r="M394" i="1"/>
  <c r="O393" i="1" s="1"/>
  <c r="M395" i="1"/>
  <c r="O394" i="1" s="1"/>
  <c r="M396" i="1"/>
  <c r="M397" i="1"/>
  <c r="M398" i="1"/>
  <c r="O397" i="1" s="1"/>
  <c r="M399" i="1"/>
  <c r="M400" i="1"/>
  <c r="N399" i="1" s="1"/>
  <c r="P399" i="1" s="1"/>
  <c r="M401" i="1"/>
  <c r="N400" i="1" s="1"/>
  <c r="P400" i="1" s="1"/>
  <c r="M402" i="1"/>
  <c r="N401" i="1" s="1"/>
  <c r="P401" i="1" s="1"/>
  <c r="M403" i="1"/>
  <c r="N402" i="1" s="1"/>
  <c r="P402" i="1" s="1"/>
  <c r="M404" i="1"/>
  <c r="M405" i="1"/>
  <c r="O404" i="1" s="1"/>
  <c r="M406" i="1"/>
  <c r="O405" i="1" s="1"/>
  <c r="M407" i="1"/>
  <c r="O406" i="1" s="1"/>
  <c r="M408" i="1"/>
  <c r="M409" i="1"/>
  <c r="M410" i="1"/>
  <c r="O409" i="1" s="1"/>
  <c r="M411" i="1"/>
  <c r="M412" i="1"/>
  <c r="N411" i="1" s="1"/>
  <c r="P411" i="1" s="1"/>
  <c r="M413" i="1"/>
  <c r="N412" i="1" s="1"/>
  <c r="P412" i="1" s="1"/>
  <c r="M414" i="1"/>
  <c r="N413" i="1" s="1"/>
  <c r="P413" i="1" s="1"/>
  <c r="M415" i="1"/>
  <c r="N414" i="1" s="1"/>
  <c r="P414" i="1" s="1"/>
  <c r="M416" i="1"/>
  <c r="M417" i="1"/>
  <c r="O416" i="1" s="1"/>
  <c r="M418" i="1"/>
  <c r="O417" i="1" s="1"/>
  <c r="M419" i="1"/>
  <c r="O418" i="1" s="1"/>
  <c r="M420" i="1"/>
  <c r="M421" i="1"/>
  <c r="M422" i="1"/>
  <c r="O421" i="1" s="1"/>
  <c r="M423" i="1"/>
  <c r="M424" i="1"/>
  <c r="N423" i="1" s="1"/>
  <c r="P423" i="1" s="1"/>
  <c r="M425" i="1"/>
  <c r="N424" i="1" s="1"/>
  <c r="P424" i="1" s="1"/>
  <c r="M426" i="1"/>
  <c r="N425" i="1" s="1"/>
  <c r="P425" i="1" s="1"/>
  <c r="M427" i="1"/>
  <c r="N426" i="1" s="1"/>
  <c r="P426" i="1" s="1"/>
  <c r="M428" i="1"/>
  <c r="M429" i="1"/>
  <c r="O428" i="1" s="1"/>
  <c r="M430" i="1"/>
  <c r="O429" i="1" s="1"/>
  <c r="M431" i="1"/>
  <c r="O430" i="1" s="1"/>
  <c r="M432" i="1"/>
  <c r="M433" i="1"/>
  <c r="M434" i="1"/>
  <c r="O433" i="1" s="1"/>
  <c r="M435" i="1"/>
  <c r="M436" i="1"/>
  <c r="N435" i="1" s="1"/>
  <c r="P435" i="1" s="1"/>
  <c r="M437" i="1"/>
  <c r="N436" i="1" s="1"/>
  <c r="P436" i="1" s="1"/>
  <c r="M438" i="1"/>
  <c r="N437" i="1" s="1"/>
  <c r="P437" i="1" s="1"/>
  <c r="M439" i="1"/>
  <c r="N438" i="1" s="1"/>
  <c r="P438" i="1" s="1"/>
  <c r="M440" i="1"/>
  <c r="M441" i="1"/>
  <c r="O440" i="1" s="1"/>
  <c r="M442" i="1"/>
  <c r="O441" i="1" s="1"/>
  <c r="M443" i="1"/>
  <c r="O442" i="1" s="1"/>
  <c r="M444" i="1"/>
  <c r="M445" i="1"/>
  <c r="M446" i="1"/>
  <c r="O445" i="1" s="1"/>
  <c r="M447" i="1"/>
  <c r="M448" i="1"/>
  <c r="N447" i="1" s="1"/>
  <c r="P447" i="1" s="1"/>
  <c r="M449" i="1"/>
  <c r="N448" i="1" s="1"/>
  <c r="P448" i="1" s="1"/>
  <c r="M450" i="1"/>
  <c r="N449" i="1" s="1"/>
  <c r="P449" i="1" s="1"/>
  <c r="M451" i="1"/>
  <c r="N450" i="1" s="1"/>
  <c r="P450" i="1" s="1"/>
  <c r="M452" i="1"/>
  <c r="M453" i="1"/>
  <c r="O452" i="1" s="1"/>
  <c r="M454" i="1"/>
  <c r="O453" i="1" s="1"/>
  <c r="M455" i="1"/>
  <c r="O454" i="1" s="1"/>
  <c r="M456" i="1"/>
  <c r="M457" i="1"/>
  <c r="M458" i="1"/>
  <c r="O457" i="1" s="1"/>
  <c r="M459" i="1"/>
  <c r="M460" i="1"/>
  <c r="N459" i="1" s="1"/>
  <c r="P459" i="1" s="1"/>
  <c r="M461" i="1"/>
  <c r="N460" i="1" s="1"/>
  <c r="P460" i="1" s="1"/>
  <c r="M462" i="1"/>
  <c r="N461" i="1" s="1"/>
  <c r="P461" i="1" s="1"/>
  <c r="M463" i="1"/>
  <c r="N462" i="1" s="1"/>
  <c r="P462" i="1" s="1"/>
  <c r="M464" i="1"/>
  <c r="M465" i="1"/>
  <c r="O464" i="1" s="1"/>
  <c r="M466" i="1"/>
  <c r="O465" i="1" s="1"/>
  <c r="M467" i="1"/>
  <c r="O466" i="1" s="1"/>
  <c r="M468" i="1"/>
  <c r="M469" i="1"/>
  <c r="M470" i="1"/>
  <c r="O469" i="1" s="1"/>
  <c r="M471" i="1"/>
  <c r="M472" i="1"/>
  <c r="N471" i="1" s="1"/>
  <c r="P471" i="1" s="1"/>
  <c r="M473" i="1"/>
  <c r="N472" i="1" s="1"/>
  <c r="P472" i="1" s="1"/>
  <c r="M474" i="1"/>
  <c r="N473" i="1" s="1"/>
  <c r="P473" i="1" s="1"/>
  <c r="M475" i="1"/>
  <c r="N474" i="1" s="1"/>
  <c r="P474" i="1" s="1"/>
  <c r="M476" i="1"/>
  <c r="M477" i="1"/>
  <c r="O476" i="1" s="1"/>
  <c r="M478" i="1"/>
  <c r="O477" i="1" s="1"/>
  <c r="M479" i="1"/>
  <c r="O478" i="1" s="1"/>
  <c r="M480" i="1"/>
  <c r="M481" i="1"/>
  <c r="M482" i="1"/>
  <c r="O481" i="1" s="1"/>
  <c r="M483" i="1"/>
  <c r="M484" i="1"/>
  <c r="N483" i="1" s="1"/>
  <c r="P483" i="1" s="1"/>
  <c r="M485" i="1"/>
  <c r="N484" i="1" s="1"/>
  <c r="P484" i="1" s="1"/>
  <c r="M486" i="1"/>
  <c r="N485" i="1" s="1"/>
  <c r="P485" i="1" s="1"/>
  <c r="M487" i="1"/>
  <c r="N486" i="1" s="1"/>
  <c r="P486" i="1" s="1"/>
  <c r="M488" i="1"/>
  <c r="M489" i="1"/>
  <c r="O488" i="1" s="1"/>
  <c r="M490" i="1"/>
  <c r="O489" i="1" s="1"/>
  <c r="M491" i="1"/>
  <c r="O490" i="1" s="1"/>
  <c r="M492" i="1"/>
  <c r="M493" i="1"/>
  <c r="M494" i="1"/>
  <c r="O493" i="1" s="1"/>
  <c r="M495" i="1"/>
  <c r="M496" i="1"/>
  <c r="N495" i="1" s="1"/>
  <c r="P495" i="1" s="1"/>
  <c r="M497" i="1"/>
  <c r="N496" i="1" s="1"/>
  <c r="P496" i="1" s="1"/>
  <c r="M498" i="1"/>
  <c r="N497" i="1" s="1"/>
  <c r="P497" i="1" s="1"/>
  <c r="M499" i="1"/>
  <c r="N498" i="1" s="1"/>
  <c r="P498" i="1" s="1"/>
  <c r="M500" i="1"/>
  <c r="M501" i="1"/>
  <c r="O500" i="1" s="1"/>
  <c r="M502" i="1"/>
  <c r="O501" i="1" s="1"/>
  <c r="M503" i="1"/>
  <c r="O502" i="1" s="1"/>
  <c r="M504" i="1"/>
  <c r="N503" i="1" s="1"/>
  <c r="P503" i="1" s="1"/>
  <c r="M505" i="1"/>
  <c r="M506" i="1"/>
  <c r="O505" i="1" s="1"/>
  <c r="M507" i="1"/>
  <c r="M508" i="1"/>
  <c r="N507" i="1" s="1"/>
  <c r="P507" i="1" s="1"/>
  <c r="M509" i="1"/>
  <c r="N508" i="1" s="1"/>
  <c r="P508" i="1" s="1"/>
  <c r="M510" i="1"/>
  <c r="N509" i="1" s="1"/>
  <c r="P509" i="1" s="1"/>
  <c r="M511" i="1"/>
  <c r="O510" i="1" s="1"/>
  <c r="M512" i="1"/>
  <c r="M513" i="1"/>
  <c r="O512" i="1" s="1"/>
  <c r="M514" i="1"/>
  <c r="O513" i="1" s="1"/>
  <c r="M515" i="1"/>
  <c r="O514" i="1" s="1"/>
  <c r="M516" i="1"/>
  <c r="M517" i="1"/>
  <c r="M518" i="1"/>
  <c r="O517" i="1" s="1"/>
  <c r="M519" i="1"/>
  <c r="M520" i="1"/>
  <c r="N519" i="1" s="1"/>
  <c r="P519" i="1" s="1"/>
  <c r="M521" i="1"/>
  <c r="N520" i="1" s="1"/>
  <c r="P520" i="1" s="1"/>
  <c r="M522" i="1"/>
  <c r="N521" i="1" s="1"/>
  <c r="P521" i="1" s="1"/>
  <c r="M523" i="1"/>
  <c r="O522" i="1" s="1"/>
  <c r="M524" i="1"/>
  <c r="M525" i="1"/>
  <c r="O524" i="1" s="1"/>
  <c r="M526" i="1"/>
  <c r="O525" i="1" s="1"/>
  <c r="M527" i="1"/>
  <c r="O526" i="1" s="1"/>
  <c r="M528" i="1"/>
  <c r="M529" i="1"/>
  <c r="M530" i="1"/>
  <c r="O529" i="1" s="1"/>
  <c r="M531" i="1"/>
  <c r="M532" i="1"/>
  <c r="N531" i="1" s="1"/>
  <c r="P531" i="1" s="1"/>
  <c r="M533" i="1"/>
  <c r="N532" i="1" s="1"/>
  <c r="P532" i="1" s="1"/>
  <c r="M534" i="1"/>
  <c r="N533" i="1" s="1"/>
  <c r="P533" i="1" s="1"/>
  <c r="M535" i="1"/>
  <c r="O534" i="1" s="1"/>
  <c r="M536" i="1"/>
  <c r="M537" i="1"/>
  <c r="O536" i="1" s="1"/>
  <c r="M538" i="1"/>
  <c r="O537" i="1" s="1"/>
  <c r="M539" i="1"/>
  <c r="O538" i="1" s="1"/>
  <c r="M540" i="1"/>
  <c r="N539" i="1" s="1"/>
  <c r="P539" i="1" s="1"/>
  <c r="M541" i="1"/>
  <c r="M542" i="1"/>
  <c r="O541" i="1" s="1"/>
  <c r="M543" i="1"/>
  <c r="M544" i="1"/>
  <c r="N543" i="1" s="1"/>
  <c r="P543" i="1" s="1"/>
  <c r="M545" i="1"/>
  <c r="N544" i="1" s="1"/>
  <c r="P544" i="1" s="1"/>
  <c r="M546" i="1"/>
  <c r="N545" i="1" s="1"/>
  <c r="P545" i="1" s="1"/>
  <c r="M547" i="1"/>
  <c r="O546" i="1" s="1"/>
  <c r="M548" i="1"/>
  <c r="M549" i="1"/>
  <c r="O548" i="1" s="1"/>
  <c r="M550" i="1"/>
  <c r="O549" i="1" s="1"/>
  <c r="M551" i="1"/>
  <c r="O550" i="1" s="1"/>
  <c r="M552" i="1"/>
  <c r="M553" i="1"/>
  <c r="M554" i="1"/>
  <c r="O553" i="1" s="1"/>
  <c r="M555" i="1"/>
  <c r="M556" i="1"/>
  <c r="N555" i="1" s="1"/>
  <c r="P555" i="1" s="1"/>
  <c r="M557" i="1"/>
  <c r="N556" i="1" s="1"/>
  <c r="P556" i="1" s="1"/>
  <c r="M558" i="1"/>
  <c r="N557" i="1" s="1"/>
  <c r="P557" i="1" s="1"/>
  <c r="M559" i="1"/>
  <c r="N558" i="1" s="1"/>
  <c r="P558" i="1" s="1"/>
  <c r="M560" i="1"/>
  <c r="M561" i="1"/>
  <c r="O560" i="1" s="1"/>
  <c r="M562" i="1"/>
  <c r="O561" i="1" s="1"/>
  <c r="M563" i="1"/>
  <c r="O562" i="1" s="1"/>
  <c r="M564" i="1"/>
  <c r="M565" i="1"/>
  <c r="M566" i="1"/>
  <c r="O565" i="1" s="1"/>
  <c r="M567" i="1"/>
  <c r="M568" i="1"/>
  <c r="N567" i="1" s="1"/>
  <c r="P567" i="1" s="1"/>
  <c r="M569" i="1"/>
  <c r="N568" i="1" s="1"/>
  <c r="P568" i="1" s="1"/>
  <c r="M570" i="1"/>
  <c r="N569" i="1" s="1"/>
  <c r="P569" i="1" s="1"/>
  <c r="M571" i="1"/>
  <c r="O570" i="1" s="1"/>
  <c r="M572" i="1"/>
  <c r="M573" i="1"/>
  <c r="N572" i="1" s="1"/>
  <c r="P572" i="1" s="1"/>
  <c r="M574" i="1"/>
  <c r="O573" i="1" s="1"/>
  <c r="M575" i="1"/>
  <c r="O574" i="1" s="1"/>
  <c r="M576" i="1"/>
  <c r="N575" i="1" s="1"/>
  <c r="P575" i="1" s="1"/>
  <c r="M577" i="1"/>
  <c r="M578" i="1"/>
  <c r="O577" i="1" s="1"/>
  <c r="M579" i="1"/>
  <c r="M580" i="1"/>
  <c r="N579" i="1" s="1"/>
  <c r="P579" i="1" s="1"/>
  <c r="M581" i="1"/>
  <c r="N580" i="1" s="1"/>
  <c r="P580" i="1" s="1"/>
  <c r="M582" i="1"/>
  <c r="N581" i="1" s="1"/>
  <c r="P581" i="1" s="1"/>
  <c r="M583" i="1"/>
  <c r="O582" i="1" s="1"/>
  <c r="M584" i="1"/>
  <c r="M585" i="1"/>
  <c r="N584" i="1" s="1"/>
  <c r="P584" i="1" s="1"/>
  <c r="M586" i="1"/>
  <c r="O585" i="1" s="1"/>
  <c r="M587" i="1"/>
  <c r="O586" i="1" s="1"/>
  <c r="M588" i="1"/>
  <c r="M589" i="1"/>
  <c r="M590" i="1"/>
  <c r="O589" i="1" s="1"/>
  <c r="M591" i="1"/>
  <c r="M592" i="1"/>
  <c r="M593" i="1"/>
  <c r="N592" i="1" s="1"/>
  <c r="P592" i="1" s="1"/>
  <c r="M594" i="1"/>
  <c r="N593" i="1" s="1"/>
  <c r="P593" i="1" s="1"/>
  <c r="M595" i="1"/>
  <c r="N594" i="1" s="1"/>
  <c r="P594" i="1" s="1"/>
  <c r="M596" i="1"/>
  <c r="O596" i="1" s="1"/>
  <c r="M597" i="1"/>
  <c r="N596" i="1" s="1"/>
  <c r="P596" i="1" s="1"/>
  <c r="M598" i="1"/>
  <c r="O597" i="1" s="1"/>
  <c r="M599" i="1"/>
  <c r="O598" i="1" s="1"/>
  <c r="M600" i="1"/>
  <c r="M601" i="1"/>
  <c r="M602" i="1"/>
  <c r="O601" i="1" s="1"/>
  <c r="M603" i="1"/>
  <c r="M604" i="1"/>
  <c r="M605" i="1"/>
  <c r="N604" i="1" s="1"/>
  <c r="P604" i="1" s="1"/>
  <c r="M606" i="1"/>
  <c r="N605" i="1" s="1"/>
  <c r="P605" i="1" s="1"/>
  <c r="M607" i="1"/>
  <c r="N606" i="1" s="1"/>
  <c r="P606" i="1" s="1"/>
  <c r="M608" i="1"/>
  <c r="M609" i="1"/>
  <c r="N608" i="1" s="1"/>
  <c r="P608" i="1" s="1"/>
  <c r="M610" i="1"/>
  <c r="O609" i="1" s="1"/>
  <c r="M611" i="1"/>
  <c r="O610" i="1" s="1"/>
  <c r="M612" i="1"/>
  <c r="N611" i="1" s="1"/>
  <c r="P611" i="1" s="1"/>
  <c r="M613" i="1"/>
  <c r="M614" i="1"/>
  <c r="O613" i="1" s="1"/>
  <c r="M615" i="1"/>
  <c r="M616" i="1"/>
  <c r="M617" i="1"/>
  <c r="N616" i="1" s="1"/>
  <c r="P616" i="1" s="1"/>
  <c r="M618" i="1"/>
  <c r="N617" i="1" s="1"/>
  <c r="P617" i="1" s="1"/>
  <c r="M619" i="1"/>
  <c r="O618" i="1" s="1"/>
  <c r="M620" i="1"/>
  <c r="M621" i="1"/>
  <c r="N620" i="1" s="1"/>
  <c r="P620" i="1" s="1"/>
  <c r="M622" i="1"/>
  <c r="O621" i="1" s="1"/>
  <c r="M623" i="1"/>
  <c r="O622" i="1" s="1"/>
  <c r="M624" i="1"/>
  <c r="M625" i="1"/>
  <c r="M626" i="1"/>
  <c r="O625" i="1" s="1"/>
  <c r="M627" i="1"/>
  <c r="M628" i="1"/>
  <c r="M629" i="1"/>
  <c r="N628" i="1" s="1"/>
  <c r="P628" i="1" s="1"/>
  <c r="M630" i="1"/>
  <c r="N629" i="1" s="1"/>
  <c r="P629" i="1" s="1"/>
  <c r="M631" i="1"/>
  <c r="N630" i="1" s="1"/>
  <c r="P630" i="1" s="1"/>
  <c r="M632" i="1"/>
  <c r="M633" i="1"/>
  <c r="N632" i="1" s="1"/>
  <c r="P632" i="1" s="1"/>
  <c r="M634" i="1"/>
  <c r="N633" i="1" s="1"/>
  <c r="P633" i="1" s="1"/>
  <c r="M635" i="1"/>
  <c r="O634" i="1" s="1"/>
  <c r="M636" i="1"/>
  <c r="M637" i="1"/>
  <c r="M638" i="1"/>
  <c r="O637" i="1" s="1"/>
  <c r="M639" i="1"/>
  <c r="M640" i="1"/>
  <c r="M641" i="1"/>
  <c r="N640" i="1" s="1"/>
  <c r="P640" i="1" s="1"/>
  <c r="M642" i="1"/>
  <c r="N641" i="1" s="1"/>
  <c r="P641" i="1" s="1"/>
  <c r="M643" i="1"/>
  <c r="O642" i="1" s="1"/>
  <c r="M644" i="1"/>
  <c r="O644" i="1" s="1"/>
  <c r="M645" i="1"/>
  <c r="N644" i="1" s="1"/>
  <c r="P644" i="1" s="1"/>
  <c r="M646" i="1"/>
  <c r="N645" i="1" s="1"/>
  <c r="P645" i="1" s="1"/>
  <c r="M647" i="1"/>
  <c r="N646" i="1" s="1"/>
  <c r="P646" i="1" s="1"/>
  <c r="M648" i="1"/>
  <c r="N647" i="1" s="1"/>
  <c r="P647" i="1" s="1"/>
  <c r="M649" i="1"/>
  <c r="M650" i="1"/>
  <c r="O649" i="1" s="1"/>
  <c r="M651" i="1"/>
  <c r="M652" i="1"/>
  <c r="M653" i="1"/>
  <c r="N652" i="1" s="1"/>
  <c r="P652" i="1" s="1"/>
  <c r="M654" i="1"/>
  <c r="N653" i="1" s="1"/>
  <c r="P653" i="1" s="1"/>
  <c r="M655" i="1"/>
  <c r="O654" i="1" s="1"/>
  <c r="M656" i="1"/>
  <c r="M657" i="1"/>
  <c r="O656" i="1" s="1"/>
  <c r="M658" i="1"/>
  <c r="O657" i="1" s="1"/>
  <c r="M659" i="1"/>
  <c r="O658" i="1" s="1"/>
  <c r="M660" i="1"/>
  <c r="N659" i="1" s="1"/>
  <c r="P659" i="1" s="1"/>
  <c r="M661" i="1"/>
  <c r="M662" i="1"/>
  <c r="N661" i="1" s="1"/>
  <c r="P661" i="1" s="1"/>
  <c r="M663" i="1"/>
  <c r="M664" i="1"/>
  <c r="M665" i="1"/>
  <c r="O664" i="1" s="1"/>
  <c r="M666" i="1"/>
  <c r="O665" i="1" s="1"/>
  <c r="M667" i="1"/>
  <c r="O666" i="1" s="1"/>
  <c r="M668" i="1"/>
  <c r="M669" i="1"/>
  <c r="M670" i="1"/>
  <c r="O669" i="1" s="1"/>
  <c r="M671" i="1"/>
  <c r="N670" i="1" s="1"/>
  <c r="P670" i="1" s="1"/>
  <c r="M672" i="1"/>
  <c r="O671" i="1" s="1"/>
  <c r="M673" i="1"/>
  <c r="M674" i="1"/>
  <c r="O673" i="1" s="1"/>
  <c r="M675" i="1"/>
  <c r="M676" i="1"/>
  <c r="M677" i="1"/>
  <c r="O676" i="1" s="1"/>
  <c r="M678" i="1"/>
  <c r="O677" i="1" s="1"/>
  <c r="M679" i="1"/>
  <c r="O678" i="1" s="1"/>
  <c r="M680" i="1"/>
  <c r="M681" i="1"/>
  <c r="M682" i="1"/>
  <c r="O681" i="1" s="1"/>
  <c r="M683" i="1"/>
  <c r="O682" i="1" s="1"/>
  <c r="M684" i="1"/>
  <c r="O683" i="1" s="1"/>
  <c r="M685" i="1"/>
  <c r="M686" i="1"/>
  <c r="O685" i="1" s="1"/>
  <c r="M687" i="1"/>
  <c r="M688" i="1"/>
  <c r="M689" i="1"/>
  <c r="O688" i="1" s="1"/>
  <c r="M690" i="1"/>
  <c r="O689" i="1" s="1"/>
  <c r="M691" i="1"/>
  <c r="O690" i="1" s="1"/>
  <c r="M692" i="1"/>
  <c r="M693" i="1"/>
  <c r="M694" i="1"/>
  <c r="O693" i="1" s="1"/>
  <c r="M695" i="1"/>
  <c r="O694" i="1" s="1"/>
  <c r="M696" i="1"/>
  <c r="N695" i="1" s="1"/>
  <c r="P695" i="1" s="1"/>
  <c r="M697" i="1"/>
  <c r="M698" i="1"/>
  <c r="N697" i="1" s="1"/>
  <c r="P697" i="1" s="1"/>
  <c r="M699" i="1"/>
  <c r="M700" i="1"/>
  <c r="M701" i="1"/>
  <c r="O700" i="1" s="1"/>
  <c r="M702" i="1"/>
  <c r="O701" i="1" s="1"/>
  <c r="M703" i="1"/>
  <c r="O702" i="1" s="1"/>
  <c r="M704" i="1"/>
  <c r="M705" i="1"/>
  <c r="M706" i="1"/>
  <c r="M707" i="1"/>
  <c r="N706" i="1" s="1"/>
  <c r="P706" i="1" s="1"/>
  <c r="M708" i="1"/>
  <c r="N707" i="1" s="1"/>
  <c r="P707" i="1" s="1"/>
  <c r="M709" i="1"/>
  <c r="M710" i="1"/>
  <c r="N709" i="1" s="1"/>
  <c r="P709" i="1" s="1"/>
  <c r="M711" i="1"/>
  <c r="M712" i="1"/>
  <c r="M713" i="1"/>
  <c r="O712" i="1" s="1"/>
  <c r="M714" i="1"/>
  <c r="O713" i="1" s="1"/>
  <c r="M715" i="1"/>
  <c r="O714" i="1" s="1"/>
  <c r="M716" i="1"/>
  <c r="M717" i="1"/>
  <c r="M718" i="1"/>
  <c r="M719" i="1"/>
  <c r="N718" i="1" s="1"/>
  <c r="P718" i="1" s="1"/>
  <c r="M720" i="1"/>
  <c r="O719" i="1" s="1"/>
  <c r="M7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Q237" i="1" s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Q256" i="1" s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Q316" i="1" s="1"/>
  <c r="K317" i="1"/>
  <c r="K318" i="1"/>
  <c r="K319" i="1"/>
  <c r="K320" i="1"/>
  <c r="K321" i="1"/>
  <c r="K322" i="1"/>
  <c r="K323" i="1"/>
  <c r="K324" i="1"/>
  <c r="K325" i="1"/>
  <c r="K326" i="1"/>
  <c r="K327" i="1"/>
  <c r="K328" i="1"/>
  <c r="Q328" i="1" s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Q381" i="1" s="1"/>
  <c r="K382" i="1"/>
  <c r="K383" i="1"/>
  <c r="K384" i="1"/>
  <c r="K385" i="1"/>
  <c r="K386" i="1"/>
  <c r="K387" i="1"/>
  <c r="K388" i="1"/>
  <c r="Q388" i="1" s="1"/>
  <c r="K389" i="1"/>
  <c r="K390" i="1"/>
  <c r="K391" i="1"/>
  <c r="K392" i="1"/>
  <c r="K393" i="1"/>
  <c r="K394" i="1"/>
  <c r="K395" i="1"/>
  <c r="K396" i="1"/>
  <c r="K397" i="1"/>
  <c r="K398" i="1"/>
  <c r="K399" i="1"/>
  <c r="K400" i="1"/>
  <c r="Q400" i="1" s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Q453" i="1" s="1"/>
  <c r="K454" i="1"/>
  <c r="K455" i="1"/>
  <c r="K456" i="1"/>
  <c r="K457" i="1"/>
  <c r="K458" i="1"/>
  <c r="K459" i="1"/>
  <c r="K460" i="1"/>
  <c r="Q460" i="1" s="1"/>
  <c r="K461" i="1"/>
  <c r="K462" i="1"/>
  <c r="K463" i="1"/>
  <c r="K464" i="1"/>
  <c r="K465" i="1"/>
  <c r="K466" i="1"/>
  <c r="K467" i="1"/>
  <c r="K468" i="1"/>
  <c r="K469" i="1"/>
  <c r="K470" i="1"/>
  <c r="K471" i="1"/>
  <c r="K472" i="1"/>
  <c r="Q472" i="1" s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Q525" i="1" s="1"/>
  <c r="K526" i="1"/>
  <c r="K527" i="1"/>
  <c r="K528" i="1"/>
  <c r="K529" i="1"/>
  <c r="K530" i="1"/>
  <c r="K531" i="1"/>
  <c r="K532" i="1"/>
  <c r="Q532" i="1" s="1"/>
  <c r="K533" i="1"/>
  <c r="K534" i="1"/>
  <c r="K535" i="1"/>
  <c r="K536" i="1"/>
  <c r="K537" i="1"/>
  <c r="K538" i="1"/>
  <c r="K539" i="1"/>
  <c r="K540" i="1"/>
  <c r="K541" i="1"/>
  <c r="K542" i="1"/>
  <c r="K543" i="1"/>
  <c r="K544" i="1"/>
  <c r="Q544" i="1" s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Q604" i="1" s="1"/>
  <c r="K605" i="1"/>
  <c r="K606" i="1"/>
  <c r="K607" i="1"/>
  <c r="K608" i="1"/>
  <c r="K609" i="1"/>
  <c r="K610" i="1"/>
  <c r="K611" i="1"/>
  <c r="K612" i="1"/>
  <c r="K613" i="1"/>
  <c r="K614" i="1"/>
  <c r="K615" i="1"/>
  <c r="K616" i="1"/>
  <c r="Q616" i="1" s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Q669" i="1" s="1"/>
  <c r="K670" i="1"/>
  <c r="K671" i="1"/>
  <c r="K672" i="1"/>
  <c r="K673" i="1"/>
  <c r="K674" i="1"/>
  <c r="K675" i="1"/>
  <c r="K676" i="1"/>
  <c r="Q676" i="1" s="1"/>
  <c r="K677" i="1"/>
  <c r="K678" i="1"/>
  <c r="K679" i="1"/>
  <c r="K680" i="1"/>
  <c r="K681" i="1"/>
  <c r="K682" i="1"/>
  <c r="K683" i="1"/>
  <c r="K684" i="1"/>
  <c r="K685" i="1"/>
  <c r="K686" i="1"/>
  <c r="K687" i="1"/>
  <c r="K688" i="1"/>
  <c r="Q688" i="1" s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Q653" i="1" l="1"/>
  <c r="Q545" i="1"/>
  <c r="Q509" i="1"/>
  <c r="Q461" i="1"/>
  <c r="Q401" i="1"/>
  <c r="Q329" i="1"/>
  <c r="Q269" i="1"/>
  <c r="Q197" i="1"/>
  <c r="Q161" i="1"/>
  <c r="Q77" i="1"/>
  <c r="Q712" i="1"/>
  <c r="Q652" i="1"/>
  <c r="Q580" i="1"/>
  <c r="Q484" i="1"/>
  <c r="Q424" i="1"/>
  <c r="Q352" i="1"/>
  <c r="Q292" i="1"/>
  <c r="Q208" i="1"/>
  <c r="Q160" i="1"/>
  <c r="Q112" i="1"/>
  <c r="Q64" i="1"/>
  <c r="Q16" i="1"/>
  <c r="O687" i="1"/>
  <c r="N687" i="1"/>
  <c r="P687" i="1" s="1"/>
  <c r="N651" i="1"/>
  <c r="P651" i="1" s="1"/>
  <c r="O651" i="1"/>
  <c r="O567" i="1"/>
  <c r="O519" i="1"/>
  <c r="O471" i="1"/>
  <c r="Q711" i="1"/>
  <c r="Q699" i="1"/>
  <c r="Q687" i="1"/>
  <c r="Q675" i="1"/>
  <c r="Q663" i="1"/>
  <c r="Q651" i="1"/>
  <c r="Q639" i="1"/>
  <c r="Q627" i="1"/>
  <c r="Q615" i="1"/>
  <c r="Q603" i="1"/>
  <c r="Q591" i="1"/>
  <c r="Q579" i="1"/>
  <c r="Q567" i="1"/>
  <c r="Q555" i="1"/>
  <c r="Q543" i="1"/>
  <c r="Q531" i="1"/>
  <c r="Q519" i="1"/>
  <c r="Q507" i="1"/>
  <c r="Q495" i="1"/>
  <c r="Q483" i="1"/>
  <c r="Q471" i="1"/>
  <c r="Q459" i="1"/>
  <c r="Q447" i="1"/>
  <c r="Q435" i="1"/>
  <c r="Q423" i="1"/>
  <c r="Q411" i="1"/>
  <c r="Q399" i="1"/>
  <c r="Q387" i="1"/>
  <c r="Q375" i="1"/>
  <c r="Q363" i="1"/>
  <c r="Q351" i="1"/>
  <c r="Q339" i="1"/>
  <c r="Q327" i="1"/>
  <c r="Q315" i="1"/>
  <c r="Q303" i="1"/>
  <c r="Q291" i="1"/>
  <c r="Q279" i="1"/>
  <c r="Q267" i="1"/>
  <c r="Q255" i="1"/>
  <c r="Q243" i="1"/>
  <c r="Q231" i="1"/>
  <c r="Q219" i="1"/>
  <c r="Q207" i="1"/>
  <c r="Q195" i="1"/>
  <c r="Q183" i="1"/>
  <c r="Q171" i="1"/>
  <c r="Q159" i="1"/>
  <c r="Q147" i="1"/>
  <c r="Q135" i="1"/>
  <c r="Q123" i="1"/>
  <c r="Q111" i="1"/>
  <c r="Q99" i="1"/>
  <c r="Q87" i="1"/>
  <c r="Q75" i="1"/>
  <c r="Q63" i="1"/>
  <c r="Q51" i="1"/>
  <c r="Q39" i="1"/>
  <c r="Q27" i="1"/>
  <c r="Q15" i="1"/>
  <c r="Q3" i="1"/>
  <c r="O710" i="1"/>
  <c r="O698" i="1"/>
  <c r="O686" i="1"/>
  <c r="O674" i="1"/>
  <c r="O662" i="1"/>
  <c r="N650" i="1"/>
  <c r="P650" i="1" s="1"/>
  <c r="N638" i="1"/>
  <c r="P638" i="1" s="1"/>
  <c r="N626" i="1"/>
  <c r="P626" i="1" s="1"/>
  <c r="N614" i="1"/>
  <c r="P614" i="1" s="1"/>
  <c r="N602" i="1"/>
  <c r="P602" i="1" s="1"/>
  <c r="N590" i="1"/>
  <c r="P590" i="1" s="1"/>
  <c r="N578" i="1"/>
  <c r="P578" i="1" s="1"/>
  <c r="N566" i="1"/>
  <c r="P566" i="1" s="1"/>
  <c r="N554" i="1"/>
  <c r="P554" i="1" s="1"/>
  <c r="N542" i="1"/>
  <c r="P542" i="1" s="1"/>
  <c r="N530" i="1"/>
  <c r="P530" i="1" s="1"/>
  <c r="N518" i="1"/>
  <c r="P518" i="1" s="1"/>
  <c r="N506" i="1"/>
  <c r="P506" i="1" s="1"/>
  <c r="N494" i="1"/>
  <c r="P494" i="1" s="1"/>
  <c r="N482" i="1"/>
  <c r="P482" i="1" s="1"/>
  <c r="N470" i="1"/>
  <c r="P470" i="1" s="1"/>
  <c r="N458" i="1"/>
  <c r="P458" i="1" s="1"/>
  <c r="N446" i="1"/>
  <c r="P446" i="1" s="1"/>
  <c r="N434" i="1"/>
  <c r="P434" i="1" s="1"/>
  <c r="N422" i="1"/>
  <c r="P422" i="1" s="1"/>
  <c r="N410" i="1"/>
  <c r="P410" i="1" s="1"/>
  <c r="N398" i="1"/>
  <c r="P398" i="1" s="1"/>
  <c r="N386" i="1"/>
  <c r="P386" i="1" s="1"/>
  <c r="N374" i="1"/>
  <c r="P374" i="1" s="1"/>
  <c r="N362" i="1"/>
  <c r="P362" i="1" s="1"/>
  <c r="N350" i="1"/>
  <c r="P350" i="1" s="1"/>
  <c r="N338" i="1"/>
  <c r="P338" i="1" s="1"/>
  <c r="N326" i="1"/>
  <c r="P326" i="1" s="1"/>
  <c r="N314" i="1"/>
  <c r="P314" i="1" s="1"/>
  <c r="N302" i="1"/>
  <c r="P302" i="1" s="1"/>
  <c r="N690" i="1"/>
  <c r="P690" i="1" s="1"/>
  <c r="N654" i="1"/>
  <c r="P654" i="1" s="1"/>
  <c r="N618" i="1"/>
  <c r="P618" i="1" s="1"/>
  <c r="N582" i="1"/>
  <c r="P582" i="1" s="1"/>
  <c r="N546" i="1"/>
  <c r="P546" i="1" s="1"/>
  <c r="N510" i="1"/>
  <c r="P510" i="1" s="1"/>
  <c r="N469" i="1"/>
  <c r="P469" i="1" s="1"/>
  <c r="N421" i="1"/>
  <c r="P421" i="1" s="1"/>
  <c r="N373" i="1"/>
  <c r="P373" i="1" s="1"/>
  <c r="N325" i="1"/>
  <c r="P325" i="1" s="1"/>
  <c r="N277" i="1"/>
  <c r="P277" i="1" s="1"/>
  <c r="N229" i="1"/>
  <c r="P229" i="1" s="1"/>
  <c r="N181" i="1"/>
  <c r="P181" i="1" s="1"/>
  <c r="N133" i="1"/>
  <c r="P133" i="1" s="1"/>
  <c r="N85" i="1"/>
  <c r="P85" i="1" s="1"/>
  <c r="N37" i="1"/>
  <c r="P37" i="1" s="1"/>
  <c r="O709" i="1"/>
  <c r="O661" i="1"/>
  <c r="O558" i="1"/>
  <c r="O462" i="1"/>
  <c r="O414" i="1"/>
  <c r="O366" i="1"/>
  <c r="O318" i="1"/>
  <c r="Q713" i="1"/>
  <c r="Q689" i="1"/>
  <c r="Q617" i="1"/>
  <c r="Q533" i="1"/>
  <c r="Q473" i="1"/>
  <c r="Q425" i="1"/>
  <c r="Q353" i="1"/>
  <c r="Q293" i="1"/>
  <c r="Q233" i="1"/>
  <c r="Q185" i="1"/>
  <c r="Q137" i="1"/>
  <c r="Q41" i="1"/>
  <c r="Q640" i="1"/>
  <c r="Q568" i="1"/>
  <c r="Q508" i="1"/>
  <c r="Q436" i="1"/>
  <c r="Q364" i="1"/>
  <c r="Q304" i="1"/>
  <c r="Q244" i="1"/>
  <c r="Q196" i="1"/>
  <c r="Q148" i="1"/>
  <c r="Q124" i="1"/>
  <c r="Q88" i="1"/>
  <c r="Q52" i="1"/>
  <c r="Q4" i="1"/>
  <c r="O711" i="1"/>
  <c r="N711" i="1"/>
  <c r="P711" i="1" s="1"/>
  <c r="O675" i="1"/>
  <c r="N675" i="1"/>
  <c r="P675" i="1" s="1"/>
  <c r="O663" i="1"/>
  <c r="N663" i="1"/>
  <c r="P663" i="1" s="1"/>
  <c r="N627" i="1"/>
  <c r="P627" i="1" s="1"/>
  <c r="O627" i="1"/>
  <c r="N591" i="1"/>
  <c r="P591" i="1" s="1"/>
  <c r="O591" i="1"/>
  <c r="Q2" i="1"/>
  <c r="Q710" i="1"/>
  <c r="Q698" i="1"/>
  <c r="Q686" i="1"/>
  <c r="Q674" i="1"/>
  <c r="Q662" i="1"/>
  <c r="Q650" i="1"/>
  <c r="Q638" i="1"/>
  <c r="Q626" i="1"/>
  <c r="Q614" i="1"/>
  <c r="Q602" i="1"/>
  <c r="Q590" i="1"/>
  <c r="Q578" i="1"/>
  <c r="Q566" i="1"/>
  <c r="Q554" i="1"/>
  <c r="Q542" i="1"/>
  <c r="Q530" i="1"/>
  <c r="Q518" i="1"/>
  <c r="Q506" i="1"/>
  <c r="Q494" i="1"/>
  <c r="Q482" i="1"/>
  <c r="Q470" i="1"/>
  <c r="Q458" i="1"/>
  <c r="Q446" i="1"/>
  <c r="Q434" i="1"/>
  <c r="Q422" i="1"/>
  <c r="Q410" i="1"/>
  <c r="Q398" i="1"/>
  <c r="Q386" i="1"/>
  <c r="Q374" i="1"/>
  <c r="Q362" i="1"/>
  <c r="Q350" i="1"/>
  <c r="Q338" i="1"/>
  <c r="Q326" i="1"/>
  <c r="Q314" i="1"/>
  <c r="Q302" i="1"/>
  <c r="Q290" i="1"/>
  <c r="Q278" i="1"/>
  <c r="Q266" i="1"/>
  <c r="Q254" i="1"/>
  <c r="Q242" i="1"/>
  <c r="Q230" i="1"/>
  <c r="Q218" i="1"/>
  <c r="Q206" i="1"/>
  <c r="Q194" i="1"/>
  <c r="Q182" i="1"/>
  <c r="Q170" i="1"/>
  <c r="Q158" i="1"/>
  <c r="Q146" i="1"/>
  <c r="Q134" i="1"/>
  <c r="Q122" i="1"/>
  <c r="Q110" i="1"/>
  <c r="Q98" i="1"/>
  <c r="Q86" i="1"/>
  <c r="Q74" i="1"/>
  <c r="Q62" i="1"/>
  <c r="Q50" i="1"/>
  <c r="Q38" i="1"/>
  <c r="Q26" i="1"/>
  <c r="Q14" i="1"/>
  <c r="N685" i="1"/>
  <c r="P685" i="1" s="1"/>
  <c r="N649" i="1"/>
  <c r="P649" i="1" s="1"/>
  <c r="N613" i="1"/>
  <c r="P613" i="1" s="1"/>
  <c r="N577" i="1"/>
  <c r="P577" i="1" s="1"/>
  <c r="N541" i="1"/>
  <c r="P541" i="1" s="1"/>
  <c r="N505" i="1"/>
  <c r="P505" i="1" s="1"/>
  <c r="O707" i="1"/>
  <c r="O659" i="1"/>
  <c r="O606" i="1"/>
  <c r="O556" i="1"/>
  <c r="O508" i="1"/>
  <c r="O460" i="1"/>
  <c r="Q677" i="1"/>
  <c r="Q557" i="1"/>
  <c r="Q521" i="1"/>
  <c r="Q449" i="1"/>
  <c r="Q413" i="1"/>
  <c r="Q317" i="1"/>
  <c r="Q245" i="1"/>
  <c r="Q173" i="1"/>
  <c r="Q101" i="1"/>
  <c r="Q53" i="1"/>
  <c r="Q628" i="1"/>
  <c r="Q556" i="1"/>
  <c r="Q496" i="1"/>
  <c r="Q412" i="1"/>
  <c r="Q280" i="1"/>
  <c r="Q220" i="1"/>
  <c r="Q184" i="1"/>
  <c r="Q136" i="1"/>
  <c r="Q100" i="1"/>
  <c r="Q76" i="1"/>
  <c r="Q28" i="1"/>
  <c r="O699" i="1"/>
  <c r="N699" i="1"/>
  <c r="P699" i="1" s="1"/>
  <c r="N639" i="1"/>
  <c r="P639" i="1" s="1"/>
  <c r="O639" i="1"/>
  <c r="N615" i="1"/>
  <c r="P615" i="1" s="1"/>
  <c r="O615" i="1"/>
  <c r="N603" i="1"/>
  <c r="P603" i="1" s="1"/>
  <c r="O603" i="1"/>
  <c r="Q721" i="1"/>
  <c r="Q709" i="1"/>
  <c r="Q697" i="1"/>
  <c r="Q685" i="1"/>
  <c r="Q673" i="1"/>
  <c r="Q661" i="1"/>
  <c r="Q649" i="1"/>
  <c r="Q637" i="1"/>
  <c r="Q625" i="1"/>
  <c r="Q613" i="1"/>
  <c r="Q601" i="1"/>
  <c r="Q589" i="1"/>
  <c r="Q577" i="1"/>
  <c r="Q565" i="1"/>
  <c r="Q553" i="1"/>
  <c r="Q541" i="1"/>
  <c r="Q529" i="1"/>
  <c r="Q517" i="1"/>
  <c r="Q505" i="1"/>
  <c r="Q493" i="1"/>
  <c r="Q481" i="1"/>
  <c r="Q469" i="1"/>
  <c r="Q457" i="1"/>
  <c r="Q445" i="1"/>
  <c r="Q433" i="1"/>
  <c r="Q421" i="1"/>
  <c r="Q409" i="1"/>
  <c r="Q397" i="1"/>
  <c r="Q385" i="1"/>
  <c r="Q373" i="1"/>
  <c r="Q361" i="1"/>
  <c r="Q349" i="1"/>
  <c r="Q337" i="1"/>
  <c r="Q325" i="1"/>
  <c r="Q313" i="1"/>
  <c r="Q301" i="1"/>
  <c r="Q289" i="1"/>
  <c r="Q277" i="1"/>
  <c r="Q265" i="1"/>
  <c r="Q253" i="1"/>
  <c r="Q241" i="1"/>
  <c r="Q229" i="1"/>
  <c r="Q217" i="1"/>
  <c r="Q205" i="1"/>
  <c r="Q193" i="1"/>
  <c r="Q181" i="1"/>
  <c r="Q169" i="1"/>
  <c r="Q157" i="1"/>
  <c r="Q145" i="1"/>
  <c r="Q133" i="1"/>
  <c r="Q121" i="1"/>
  <c r="Q109" i="1"/>
  <c r="Q97" i="1"/>
  <c r="Q85" i="1"/>
  <c r="Q73" i="1"/>
  <c r="Q61" i="1"/>
  <c r="Q49" i="1"/>
  <c r="Q37" i="1"/>
  <c r="Q25" i="1"/>
  <c r="Q13" i="1"/>
  <c r="O720" i="1"/>
  <c r="N720" i="1"/>
  <c r="P720" i="1" s="1"/>
  <c r="O708" i="1"/>
  <c r="N708" i="1"/>
  <c r="P708" i="1" s="1"/>
  <c r="O696" i="1"/>
  <c r="N696" i="1"/>
  <c r="P696" i="1" s="1"/>
  <c r="O684" i="1"/>
  <c r="N684" i="1"/>
  <c r="P684" i="1" s="1"/>
  <c r="O672" i="1"/>
  <c r="N672" i="1"/>
  <c r="P672" i="1" s="1"/>
  <c r="O660" i="1"/>
  <c r="N660" i="1"/>
  <c r="P660" i="1" s="1"/>
  <c r="N648" i="1"/>
  <c r="P648" i="1" s="1"/>
  <c r="O636" i="1"/>
  <c r="N636" i="1"/>
  <c r="P636" i="1" s="1"/>
  <c r="O624" i="1"/>
  <c r="N624" i="1"/>
  <c r="P624" i="1" s="1"/>
  <c r="O612" i="1"/>
  <c r="N612" i="1"/>
  <c r="P612" i="1" s="1"/>
  <c r="O600" i="1"/>
  <c r="N600" i="1"/>
  <c r="P600" i="1" s="1"/>
  <c r="O588" i="1"/>
  <c r="N588" i="1"/>
  <c r="P588" i="1" s="1"/>
  <c r="O576" i="1"/>
  <c r="N576" i="1"/>
  <c r="P576" i="1" s="1"/>
  <c r="O564" i="1"/>
  <c r="N564" i="1"/>
  <c r="P564" i="1" s="1"/>
  <c r="O552" i="1"/>
  <c r="O540" i="1"/>
  <c r="O528" i="1"/>
  <c r="O516" i="1"/>
  <c r="O504" i="1"/>
  <c r="O492" i="1"/>
  <c r="O480" i="1"/>
  <c r="O468" i="1"/>
  <c r="O456" i="1"/>
  <c r="O444" i="1"/>
  <c r="O432" i="1"/>
  <c r="O420" i="1"/>
  <c r="O408" i="1"/>
  <c r="O396" i="1"/>
  <c r="O384" i="1"/>
  <c r="O372" i="1"/>
  <c r="O360" i="1"/>
  <c r="O348" i="1"/>
  <c r="O336" i="1"/>
  <c r="O324" i="1"/>
  <c r="O312" i="1"/>
  <c r="N719" i="1"/>
  <c r="P719" i="1" s="1"/>
  <c r="N683" i="1"/>
  <c r="P683" i="1" s="1"/>
  <c r="N466" i="1"/>
  <c r="P466" i="1" s="1"/>
  <c r="N418" i="1"/>
  <c r="P418" i="1" s="1"/>
  <c r="N370" i="1"/>
  <c r="P370" i="1" s="1"/>
  <c r="N322" i="1"/>
  <c r="P322" i="1" s="1"/>
  <c r="N274" i="1"/>
  <c r="P274" i="1" s="1"/>
  <c r="N226" i="1"/>
  <c r="P226" i="1" s="1"/>
  <c r="N178" i="1"/>
  <c r="P178" i="1" s="1"/>
  <c r="N130" i="1"/>
  <c r="P130" i="1" s="1"/>
  <c r="N82" i="1"/>
  <c r="P82" i="1" s="1"/>
  <c r="N34" i="1"/>
  <c r="P34" i="1" s="1"/>
  <c r="O706" i="1"/>
  <c r="O555" i="1"/>
  <c r="O507" i="1"/>
  <c r="O459" i="1"/>
  <c r="Q569" i="1"/>
  <c r="Q389" i="1"/>
  <c r="Q257" i="1"/>
  <c r="Q149" i="1"/>
  <c r="Q29" i="1"/>
  <c r="Q700" i="1"/>
  <c r="Q592" i="1"/>
  <c r="Q340" i="1"/>
  <c r="Q268" i="1"/>
  <c r="Q172" i="1"/>
  <c r="Q40" i="1"/>
  <c r="Q720" i="1"/>
  <c r="Q708" i="1"/>
  <c r="Q696" i="1"/>
  <c r="Q684" i="1"/>
  <c r="Q672" i="1"/>
  <c r="Q660" i="1"/>
  <c r="Q648" i="1"/>
  <c r="Q636" i="1"/>
  <c r="Q624" i="1"/>
  <c r="Q612" i="1"/>
  <c r="Q600" i="1"/>
  <c r="Q588" i="1"/>
  <c r="Q576" i="1"/>
  <c r="Q564" i="1"/>
  <c r="Q552" i="1"/>
  <c r="Q540" i="1"/>
  <c r="Q528" i="1"/>
  <c r="Q516" i="1"/>
  <c r="Q504" i="1"/>
  <c r="Q492" i="1"/>
  <c r="Q480" i="1"/>
  <c r="Q468" i="1"/>
  <c r="Q456" i="1"/>
  <c r="Q444" i="1"/>
  <c r="Q432" i="1"/>
  <c r="Q420" i="1"/>
  <c r="Q408" i="1"/>
  <c r="Q396" i="1"/>
  <c r="Q384" i="1"/>
  <c r="Q372" i="1"/>
  <c r="Q360" i="1"/>
  <c r="Q348" i="1"/>
  <c r="Q336" i="1"/>
  <c r="Q324" i="1"/>
  <c r="Q312" i="1"/>
  <c r="Q300" i="1"/>
  <c r="Q288" i="1"/>
  <c r="Q276" i="1"/>
  <c r="Q264" i="1"/>
  <c r="Q252" i="1"/>
  <c r="Q240" i="1"/>
  <c r="Q228" i="1"/>
  <c r="Q216" i="1"/>
  <c r="Q204" i="1"/>
  <c r="Q192" i="1"/>
  <c r="Q180" i="1"/>
  <c r="Q168" i="1"/>
  <c r="Q156" i="1"/>
  <c r="Q144" i="1"/>
  <c r="Q132" i="1"/>
  <c r="Q120" i="1"/>
  <c r="Q108" i="1"/>
  <c r="Q96" i="1"/>
  <c r="Q84" i="1"/>
  <c r="Q72" i="1"/>
  <c r="Q60" i="1"/>
  <c r="Q48" i="1"/>
  <c r="Q36" i="1"/>
  <c r="Q24" i="1"/>
  <c r="Q12" i="1"/>
  <c r="O647" i="1"/>
  <c r="O635" i="1"/>
  <c r="O623" i="1"/>
  <c r="O611" i="1"/>
  <c r="O599" i="1"/>
  <c r="O587" i="1"/>
  <c r="O575" i="1"/>
  <c r="O563" i="1"/>
  <c r="O551" i="1"/>
  <c r="O539" i="1"/>
  <c r="O527" i="1"/>
  <c r="O515" i="1"/>
  <c r="O503" i="1"/>
  <c r="O491" i="1"/>
  <c r="O479" i="1"/>
  <c r="O467" i="1"/>
  <c r="O455" i="1"/>
  <c r="O443" i="1"/>
  <c r="O431" i="1"/>
  <c r="O419" i="1"/>
  <c r="O407" i="1"/>
  <c r="O395" i="1"/>
  <c r="O383" i="1"/>
  <c r="O371" i="1"/>
  <c r="O359" i="1"/>
  <c r="O347" i="1"/>
  <c r="O335" i="1"/>
  <c r="O323" i="1"/>
  <c r="O311" i="1"/>
  <c r="O299" i="1"/>
  <c r="O287" i="1"/>
  <c r="O275" i="1"/>
  <c r="O263" i="1"/>
  <c r="O251" i="1"/>
  <c r="O239" i="1"/>
  <c r="O227" i="1"/>
  <c r="O215" i="1"/>
  <c r="O203" i="1"/>
  <c r="O191" i="1"/>
  <c r="O179" i="1"/>
  <c r="O167" i="1"/>
  <c r="O155" i="1"/>
  <c r="O143" i="1"/>
  <c r="O131" i="1"/>
  <c r="O119" i="1"/>
  <c r="O107" i="1"/>
  <c r="O95" i="1"/>
  <c r="O83" i="1"/>
  <c r="O71" i="1"/>
  <c r="O59" i="1"/>
  <c r="O47" i="1"/>
  <c r="O35" i="1"/>
  <c r="O23" i="1"/>
  <c r="O11" i="1"/>
  <c r="N682" i="1"/>
  <c r="P682" i="1" s="1"/>
  <c r="N610" i="1"/>
  <c r="P610" i="1" s="1"/>
  <c r="N574" i="1"/>
  <c r="P574" i="1" s="1"/>
  <c r="N538" i="1"/>
  <c r="P538" i="1" s="1"/>
  <c r="N502" i="1"/>
  <c r="P502" i="1" s="1"/>
  <c r="N457" i="1"/>
  <c r="P457" i="1" s="1"/>
  <c r="N409" i="1"/>
  <c r="P409" i="1" s="1"/>
  <c r="N361" i="1"/>
  <c r="P361" i="1" s="1"/>
  <c r="N313" i="1"/>
  <c r="P313" i="1" s="1"/>
  <c r="N265" i="1"/>
  <c r="P265" i="1" s="1"/>
  <c r="N217" i="1"/>
  <c r="P217" i="1" s="1"/>
  <c r="N169" i="1"/>
  <c r="P169" i="1" s="1"/>
  <c r="N121" i="1"/>
  <c r="P121" i="1" s="1"/>
  <c r="N73" i="1"/>
  <c r="P73" i="1" s="1"/>
  <c r="N25" i="1"/>
  <c r="P25" i="1" s="1"/>
  <c r="O697" i="1"/>
  <c r="O648" i="1"/>
  <c r="O498" i="1"/>
  <c r="O450" i="1"/>
  <c r="O402" i="1"/>
  <c r="O354" i="1"/>
  <c r="O306" i="1"/>
  <c r="Q593" i="1"/>
  <c r="Q437" i="1"/>
  <c r="Q281" i="1"/>
  <c r="Q113" i="1"/>
  <c r="Q719" i="1"/>
  <c r="Q707" i="1"/>
  <c r="Q695" i="1"/>
  <c r="Q683" i="1"/>
  <c r="Q671" i="1"/>
  <c r="Q659" i="1"/>
  <c r="Q647" i="1"/>
  <c r="Q635" i="1"/>
  <c r="Q623" i="1"/>
  <c r="Q611" i="1"/>
  <c r="Q599" i="1"/>
  <c r="Q587" i="1"/>
  <c r="Q575" i="1"/>
  <c r="Q563" i="1"/>
  <c r="Q551" i="1"/>
  <c r="Q539" i="1"/>
  <c r="Q527" i="1"/>
  <c r="Q515" i="1"/>
  <c r="Q503" i="1"/>
  <c r="Q491" i="1"/>
  <c r="Q479" i="1"/>
  <c r="Q467" i="1"/>
  <c r="Q455" i="1"/>
  <c r="Q443" i="1"/>
  <c r="Q431" i="1"/>
  <c r="Q419" i="1"/>
  <c r="Q407" i="1"/>
  <c r="Q395" i="1"/>
  <c r="Q383" i="1"/>
  <c r="Q371" i="1"/>
  <c r="Q359" i="1"/>
  <c r="Q347" i="1"/>
  <c r="Q335" i="1"/>
  <c r="Q323" i="1"/>
  <c r="Q311" i="1"/>
  <c r="Q299" i="1"/>
  <c r="Q287" i="1"/>
  <c r="Q275" i="1"/>
  <c r="Q263" i="1"/>
  <c r="Q251" i="1"/>
  <c r="Q239" i="1"/>
  <c r="Q227" i="1"/>
  <c r="Q215" i="1"/>
  <c r="Q203" i="1"/>
  <c r="Q191" i="1"/>
  <c r="Q179" i="1"/>
  <c r="Q167" i="1"/>
  <c r="Q155" i="1"/>
  <c r="Q143" i="1"/>
  <c r="Q131" i="1"/>
  <c r="Q119" i="1"/>
  <c r="Q107" i="1"/>
  <c r="Q95" i="1"/>
  <c r="Q83" i="1"/>
  <c r="Q71" i="1"/>
  <c r="Q59" i="1"/>
  <c r="Q47" i="1"/>
  <c r="Q35" i="1"/>
  <c r="Q23" i="1"/>
  <c r="Q11" i="1"/>
  <c r="N714" i="1"/>
  <c r="P714" i="1" s="1"/>
  <c r="N678" i="1"/>
  <c r="P678" i="1" s="1"/>
  <c r="N642" i="1"/>
  <c r="P642" i="1" s="1"/>
  <c r="N570" i="1"/>
  <c r="P570" i="1" s="1"/>
  <c r="N534" i="1"/>
  <c r="P534" i="1" s="1"/>
  <c r="N455" i="1"/>
  <c r="P455" i="1" s="1"/>
  <c r="N407" i="1"/>
  <c r="P407" i="1" s="1"/>
  <c r="N359" i="1"/>
  <c r="P359" i="1" s="1"/>
  <c r="N311" i="1"/>
  <c r="P311" i="1" s="1"/>
  <c r="N263" i="1"/>
  <c r="P263" i="1" s="1"/>
  <c r="N215" i="1"/>
  <c r="P215" i="1" s="1"/>
  <c r="N167" i="1"/>
  <c r="P167" i="1" s="1"/>
  <c r="N119" i="1"/>
  <c r="P119" i="1" s="1"/>
  <c r="N71" i="1"/>
  <c r="P71" i="1" s="1"/>
  <c r="N23" i="1"/>
  <c r="P23" i="1" s="1"/>
  <c r="O695" i="1"/>
  <c r="O594" i="1"/>
  <c r="O544" i="1"/>
  <c r="O496" i="1"/>
  <c r="O448" i="1"/>
  <c r="Q641" i="1"/>
  <c r="Q485" i="1"/>
  <c r="Q365" i="1"/>
  <c r="Q221" i="1"/>
  <c r="Q65" i="1"/>
  <c r="Q718" i="1"/>
  <c r="Q706" i="1"/>
  <c r="Q694" i="1"/>
  <c r="Q682" i="1"/>
  <c r="Q670" i="1"/>
  <c r="Q658" i="1"/>
  <c r="Q646" i="1"/>
  <c r="Q634" i="1"/>
  <c r="Q622" i="1"/>
  <c r="Q610" i="1"/>
  <c r="Q598" i="1"/>
  <c r="Q586" i="1"/>
  <c r="Q574" i="1"/>
  <c r="Q562" i="1"/>
  <c r="Q550" i="1"/>
  <c r="Q538" i="1"/>
  <c r="Q526" i="1"/>
  <c r="Q514" i="1"/>
  <c r="Q502" i="1"/>
  <c r="Q490" i="1"/>
  <c r="Q478" i="1"/>
  <c r="Q466" i="1"/>
  <c r="Q454" i="1"/>
  <c r="Q442" i="1"/>
  <c r="Q430" i="1"/>
  <c r="Q418" i="1"/>
  <c r="Q406" i="1"/>
  <c r="Q394" i="1"/>
  <c r="Q382" i="1"/>
  <c r="Q370" i="1"/>
  <c r="Q358" i="1"/>
  <c r="Q346" i="1"/>
  <c r="Q334" i="1"/>
  <c r="Q322" i="1"/>
  <c r="Q310" i="1"/>
  <c r="Q298" i="1"/>
  <c r="Q286" i="1"/>
  <c r="Q274" i="1"/>
  <c r="Q262" i="1"/>
  <c r="Q250" i="1"/>
  <c r="Q238" i="1"/>
  <c r="Q226" i="1"/>
  <c r="Q214" i="1"/>
  <c r="Q202" i="1"/>
  <c r="Q190" i="1"/>
  <c r="Q178" i="1"/>
  <c r="Q166" i="1"/>
  <c r="Q154" i="1"/>
  <c r="Q142" i="1"/>
  <c r="Q130" i="1"/>
  <c r="Q118" i="1"/>
  <c r="Q106" i="1"/>
  <c r="Q94" i="1"/>
  <c r="Q82" i="1"/>
  <c r="Q70" i="1"/>
  <c r="Q58" i="1"/>
  <c r="Q46" i="1"/>
  <c r="Q34" i="1"/>
  <c r="Q22" i="1"/>
  <c r="Q10" i="1"/>
  <c r="O717" i="1"/>
  <c r="N717" i="1"/>
  <c r="P717" i="1" s="1"/>
  <c r="O705" i="1"/>
  <c r="N705" i="1"/>
  <c r="P705" i="1" s="1"/>
  <c r="N673" i="1"/>
  <c r="P673" i="1" s="1"/>
  <c r="N637" i="1"/>
  <c r="P637" i="1" s="1"/>
  <c r="N601" i="1"/>
  <c r="P601" i="1" s="1"/>
  <c r="N565" i="1"/>
  <c r="P565" i="1" s="1"/>
  <c r="N529" i="1"/>
  <c r="P529" i="1" s="1"/>
  <c r="N493" i="1"/>
  <c r="P493" i="1" s="1"/>
  <c r="N454" i="1"/>
  <c r="P454" i="1" s="1"/>
  <c r="N406" i="1"/>
  <c r="P406" i="1" s="1"/>
  <c r="N358" i="1"/>
  <c r="P358" i="1" s="1"/>
  <c r="N310" i="1"/>
  <c r="P310" i="1" s="1"/>
  <c r="N262" i="1"/>
  <c r="P262" i="1" s="1"/>
  <c r="N214" i="1"/>
  <c r="P214" i="1" s="1"/>
  <c r="N166" i="1"/>
  <c r="P166" i="1" s="1"/>
  <c r="N118" i="1"/>
  <c r="P118" i="1" s="1"/>
  <c r="N70" i="1"/>
  <c r="P70" i="1" s="1"/>
  <c r="N22" i="1"/>
  <c r="P22" i="1" s="1"/>
  <c r="O543" i="1"/>
  <c r="O495" i="1"/>
  <c r="O447" i="1"/>
  <c r="Q629" i="1"/>
  <c r="Q341" i="1"/>
  <c r="Q89" i="1"/>
  <c r="Q717" i="1"/>
  <c r="Q705" i="1"/>
  <c r="Q693" i="1"/>
  <c r="Q681" i="1"/>
  <c r="Q657" i="1"/>
  <c r="Q645" i="1"/>
  <c r="Q633" i="1"/>
  <c r="Q621" i="1"/>
  <c r="Q609" i="1"/>
  <c r="Q585" i="1"/>
  <c r="Q573" i="1"/>
  <c r="Q561" i="1"/>
  <c r="Q549" i="1"/>
  <c r="Q537" i="1"/>
  <c r="Q513" i="1"/>
  <c r="Q501" i="1"/>
  <c r="Q489" i="1"/>
  <c r="Q477" i="1"/>
  <c r="Q465" i="1"/>
  <c r="Q441" i="1"/>
  <c r="Q429" i="1"/>
  <c r="Q417" i="1"/>
  <c r="Q405" i="1"/>
  <c r="Q393" i="1"/>
  <c r="Q369" i="1"/>
  <c r="Q357" i="1"/>
  <c r="Q345" i="1"/>
  <c r="Q333" i="1"/>
  <c r="Q321" i="1"/>
  <c r="Q297" i="1"/>
  <c r="Q285" i="1"/>
  <c r="Q273" i="1"/>
  <c r="Q261" i="1"/>
  <c r="Q249" i="1"/>
  <c r="Q225" i="1"/>
  <c r="Q213" i="1"/>
  <c r="Q201" i="1"/>
  <c r="Q189" i="1"/>
  <c r="Q177" i="1"/>
  <c r="Q165" i="1"/>
  <c r="Q153" i="1"/>
  <c r="Q141" i="1"/>
  <c r="Q129" i="1"/>
  <c r="Q117" i="1"/>
  <c r="Q105" i="1"/>
  <c r="Q93" i="1"/>
  <c r="Q81" i="1"/>
  <c r="Q69" i="1"/>
  <c r="Q57" i="1"/>
  <c r="Q45" i="1"/>
  <c r="Q33" i="1"/>
  <c r="Q21" i="1"/>
  <c r="Q9" i="1"/>
  <c r="O716" i="1"/>
  <c r="N716" i="1"/>
  <c r="P716" i="1" s="1"/>
  <c r="O704" i="1"/>
  <c r="N704" i="1"/>
  <c r="P704" i="1" s="1"/>
  <c r="O692" i="1"/>
  <c r="N692" i="1"/>
  <c r="P692" i="1" s="1"/>
  <c r="O680" i="1"/>
  <c r="N680" i="1"/>
  <c r="P680" i="1" s="1"/>
  <c r="O668" i="1"/>
  <c r="N668" i="1"/>
  <c r="P668" i="1" s="1"/>
  <c r="N671" i="1"/>
  <c r="P671" i="1" s="1"/>
  <c r="N635" i="1"/>
  <c r="P635" i="1" s="1"/>
  <c r="N599" i="1"/>
  <c r="P599" i="1" s="1"/>
  <c r="N563" i="1"/>
  <c r="P563" i="1" s="1"/>
  <c r="N527" i="1"/>
  <c r="P527" i="1" s="1"/>
  <c r="N491" i="1"/>
  <c r="P491" i="1" s="1"/>
  <c r="N445" i="1"/>
  <c r="P445" i="1" s="1"/>
  <c r="N397" i="1"/>
  <c r="P397" i="1" s="1"/>
  <c r="N349" i="1"/>
  <c r="P349" i="1" s="1"/>
  <c r="N301" i="1"/>
  <c r="P301" i="1" s="1"/>
  <c r="N253" i="1"/>
  <c r="P253" i="1" s="1"/>
  <c r="N205" i="1"/>
  <c r="P205" i="1" s="1"/>
  <c r="N157" i="1"/>
  <c r="P157" i="1" s="1"/>
  <c r="N109" i="1"/>
  <c r="P109" i="1" s="1"/>
  <c r="N61" i="1"/>
  <c r="P61" i="1" s="1"/>
  <c r="N13" i="1"/>
  <c r="P13" i="1" s="1"/>
  <c r="O486" i="1"/>
  <c r="O438" i="1"/>
  <c r="O390" i="1"/>
  <c r="O342" i="1"/>
  <c r="Q701" i="1"/>
  <c r="Q605" i="1"/>
  <c r="Q497" i="1"/>
  <c r="Q377" i="1"/>
  <c r="Q305" i="1"/>
  <c r="Q209" i="1"/>
  <c r="Q125" i="1"/>
  <c r="Q664" i="1"/>
  <c r="Q520" i="1"/>
  <c r="Q448" i="1"/>
  <c r="Q376" i="1"/>
  <c r="Q232" i="1"/>
  <c r="Q716" i="1"/>
  <c r="Q704" i="1"/>
  <c r="Q692" i="1"/>
  <c r="Q680" i="1"/>
  <c r="Q668" i="1"/>
  <c r="Q656" i="1"/>
  <c r="Q644" i="1"/>
  <c r="Q632" i="1"/>
  <c r="Q620" i="1"/>
  <c r="Q608" i="1"/>
  <c r="Q596" i="1"/>
  <c r="Q584" i="1"/>
  <c r="Q572" i="1"/>
  <c r="Q560" i="1"/>
  <c r="Q548" i="1"/>
  <c r="Q536" i="1"/>
  <c r="Q524" i="1"/>
  <c r="Q512" i="1"/>
  <c r="Q500" i="1"/>
  <c r="Q488" i="1"/>
  <c r="Q476" i="1"/>
  <c r="Q464" i="1"/>
  <c r="Q452" i="1"/>
  <c r="Q440" i="1"/>
  <c r="Q428" i="1"/>
  <c r="Q416" i="1"/>
  <c r="Q404" i="1"/>
  <c r="Q392" i="1"/>
  <c r="Q380" i="1"/>
  <c r="Q368" i="1"/>
  <c r="Q356" i="1"/>
  <c r="Q344" i="1"/>
  <c r="Q332" i="1"/>
  <c r="Q320" i="1"/>
  <c r="Q308" i="1"/>
  <c r="Q296" i="1"/>
  <c r="Q284" i="1"/>
  <c r="Q272" i="1"/>
  <c r="Q260" i="1"/>
  <c r="Q248" i="1"/>
  <c r="Q236" i="1"/>
  <c r="Q224" i="1"/>
  <c r="Q212" i="1"/>
  <c r="Q200" i="1"/>
  <c r="Q188" i="1"/>
  <c r="Q176" i="1"/>
  <c r="Q164" i="1"/>
  <c r="Q152" i="1"/>
  <c r="Q140" i="1"/>
  <c r="Q128" i="1"/>
  <c r="Q116" i="1"/>
  <c r="Q104" i="1"/>
  <c r="Q92" i="1"/>
  <c r="Q80" i="1"/>
  <c r="Q68" i="1"/>
  <c r="Q56" i="1"/>
  <c r="Q44" i="1"/>
  <c r="Q32" i="1"/>
  <c r="Q20" i="1"/>
  <c r="Q8" i="1"/>
  <c r="O715" i="1"/>
  <c r="N715" i="1"/>
  <c r="P715" i="1" s="1"/>
  <c r="O703" i="1"/>
  <c r="N703" i="1"/>
  <c r="P703" i="1" s="1"/>
  <c r="O691" i="1"/>
  <c r="N691" i="1"/>
  <c r="P691" i="1" s="1"/>
  <c r="O679" i="1"/>
  <c r="N679" i="1"/>
  <c r="P679" i="1" s="1"/>
  <c r="O667" i="1"/>
  <c r="N667" i="1"/>
  <c r="P667" i="1" s="1"/>
  <c r="N655" i="1"/>
  <c r="P655" i="1" s="1"/>
  <c r="N643" i="1"/>
  <c r="P643" i="1" s="1"/>
  <c r="O643" i="1"/>
  <c r="N631" i="1"/>
  <c r="P631" i="1" s="1"/>
  <c r="O631" i="1"/>
  <c r="N619" i="1"/>
  <c r="P619" i="1" s="1"/>
  <c r="O619" i="1"/>
  <c r="N607" i="1"/>
  <c r="P607" i="1" s="1"/>
  <c r="O607" i="1"/>
  <c r="N595" i="1"/>
  <c r="P595" i="1" s="1"/>
  <c r="O595" i="1"/>
  <c r="N583" i="1"/>
  <c r="P583" i="1" s="1"/>
  <c r="O583" i="1"/>
  <c r="O571" i="1"/>
  <c r="N571" i="1"/>
  <c r="P571" i="1" s="1"/>
  <c r="O559" i="1"/>
  <c r="O547" i="1"/>
  <c r="O535" i="1"/>
  <c r="O523" i="1"/>
  <c r="O511" i="1"/>
  <c r="O499" i="1"/>
  <c r="O487" i="1"/>
  <c r="O475" i="1"/>
  <c r="O463" i="1"/>
  <c r="O451" i="1"/>
  <c r="O439" i="1"/>
  <c r="O427" i="1"/>
  <c r="O415" i="1"/>
  <c r="O403" i="1"/>
  <c r="O391" i="1"/>
  <c r="O379" i="1"/>
  <c r="O367" i="1"/>
  <c r="O355" i="1"/>
  <c r="O343" i="1"/>
  <c r="O331" i="1"/>
  <c r="O319" i="1"/>
  <c r="O307" i="1"/>
  <c r="N634" i="1"/>
  <c r="P634" i="1" s="1"/>
  <c r="N598" i="1"/>
  <c r="P598" i="1" s="1"/>
  <c r="N562" i="1"/>
  <c r="P562" i="1" s="1"/>
  <c r="N526" i="1"/>
  <c r="P526" i="1" s="1"/>
  <c r="N490" i="1"/>
  <c r="P490" i="1" s="1"/>
  <c r="N443" i="1"/>
  <c r="P443" i="1" s="1"/>
  <c r="N395" i="1"/>
  <c r="P395" i="1" s="1"/>
  <c r="N347" i="1"/>
  <c r="P347" i="1" s="1"/>
  <c r="N299" i="1"/>
  <c r="P299" i="1" s="1"/>
  <c r="N251" i="1"/>
  <c r="P251" i="1" s="1"/>
  <c r="N203" i="1"/>
  <c r="P203" i="1" s="1"/>
  <c r="N155" i="1"/>
  <c r="P155" i="1" s="1"/>
  <c r="N107" i="1"/>
  <c r="P107" i="1" s="1"/>
  <c r="N59" i="1"/>
  <c r="P59" i="1" s="1"/>
  <c r="N11" i="1"/>
  <c r="P11" i="1" s="1"/>
  <c r="O630" i="1"/>
  <c r="O532" i="1"/>
  <c r="O484" i="1"/>
  <c r="Q581" i="1"/>
  <c r="Q5" i="1"/>
  <c r="Q703" i="1"/>
  <c r="Q691" i="1"/>
  <c r="Q667" i="1"/>
  <c r="Q643" i="1"/>
  <c r="Q619" i="1"/>
  <c r="Q607" i="1"/>
  <c r="Q583" i="1"/>
  <c r="Q571" i="1"/>
  <c r="Q547" i="1"/>
  <c r="Q523" i="1"/>
  <c r="Q511" i="1"/>
  <c r="Q487" i="1"/>
  <c r="Q463" i="1"/>
  <c r="Q439" i="1"/>
  <c r="Q415" i="1"/>
  <c r="Q391" i="1"/>
  <c r="Q367" i="1"/>
  <c r="Q343" i="1"/>
  <c r="Q331" i="1"/>
  <c r="Q307" i="1"/>
  <c r="Q283" i="1"/>
  <c r="Q259" i="1"/>
  <c r="Q235" i="1"/>
  <c r="Q211" i="1"/>
  <c r="Q187" i="1"/>
  <c r="Q175" i="1"/>
  <c r="Q151" i="1"/>
  <c r="Q127" i="1"/>
  <c r="Q91" i="1"/>
  <c r="Q67" i="1"/>
  <c r="Q31" i="1"/>
  <c r="O294" i="1"/>
  <c r="N294" i="1"/>
  <c r="P294" i="1" s="1"/>
  <c r="O282" i="1"/>
  <c r="N282" i="1"/>
  <c r="P282" i="1" s="1"/>
  <c r="O270" i="1"/>
  <c r="N270" i="1"/>
  <c r="P270" i="1" s="1"/>
  <c r="O258" i="1"/>
  <c r="N258" i="1"/>
  <c r="P258" i="1" s="1"/>
  <c r="O246" i="1"/>
  <c r="N246" i="1"/>
  <c r="P246" i="1" s="1"/>
  <c r="O234" i="1"/>
  <c r="N234" i="1"/>
  <c r="P234" i="1" s="1"/>
  <c r="O222" i="1"/>
  <c r="N222" i="1"/>
  <c r="P222" i="1" s="1"/>
  <c r="O210" i="1"/>
  <c r="N210" i="1"/>
  <c r="P210" i="1" s="1"/>
  <c r="O198" i="1"/>
  <c r="N198" i="1"/>
  <c r="P198" i="1" s="1"/>
  <c r="O186" i="1"/>
  <c r="N186" i="1"/>
  <c r="P186" i="1" s="1"/>
  <c r="O174" i="1"/>
  <c r="N174" i="1"/>
  <c r="P174" i="1" s="1"/>
  <c r="O162" i="1"/>
  <c r="N162" i="1"/>
  <c r="P162" i="1" s="1"/>
  <c r="O150" i="1"/>
  <c r="N150" i="1"/>
  <c r="P150" i="1" s="1"/>
  <c r="O138" i="1"/>
  <c r="N138" i="1"/>
  <c r="P138" i="1" s="1"/>
  <c r="O126" i="1"/>
  <c r="N126" i="1"/>
  <c r="P126" i="1" s="1"/>
  <c r="O114" i="1"/>
  <c r="N114" i="1"/>
  <c r="P114" i="1" s="1"/>
  <c r="O102" i="1"/>
  <c r="N102" i="1"/>
  <c r="P102" i="1" s="1"/>
  <c r="O90" i="1"/>
  <c r="N90" i="1"/>
  <c r="P90" i="1" s="1"/>
  <c r="O78" i="1"/>
  <c r="N78" i="1"/>
  <c r="P78" i="1" s="1"/>
  <c r="O66" i="1"/>
  <c r="N66" i="1"/>
  <c r="P66" i="1" s="1"/>
  <c r="O54" i="1"/>
  <c r="N54" i="1"/>
  <c r="P54" i="1" s="1"/>
  <c r="O42" i="1"/>
  <c r="N42" i="1"/>
  <c r="P42" i="1" s="1"/>
  <c r="O30" i="1"/>
  <c r="N30" i="1"/>
  <c r="P30" i="1" s="1"/>
  <c r="O18" i="1"/>
  <c r="N18" i="1"/>
  <c r="P18" i="1" s="1"/>
  <c r="O6" i="1"/>
  <c r="N6" i="1"/>
  <c r="P6" i="1" s="1"/>
  <c r="N702" i="1"/>
  <c r="P702" i="1" s="1"/>
  <c r="N666" i="1"/>
  <c r="P666" i="1" s="1"/>
  <c r="N522" i="1"/>
  <c r="P522" i="1" s="1"/>
  <c r="N442" i="1"/>
  <c r="P442" i="1" s="1"/>
  <c r="N394" i="1"/>
  <c r="P394" i="1" s="1"/>
  <c r="N346" i="1"/>
  <c r="P346" i="1" s="1"/>
  <c r="N298" i="1"/>
  <c r="P298" i="1" s="1"/>
  <c r="N250" i="1"/>
  <c r="P250" i="1" s="1"/>
  <c r="N202" i="1"/>
  <c r="P202" i="1" s="1"/>
  <c r="N154" i="1"/>
  <c r="P154" i="1" s="1"/>
  <c r="N106" i="1"/>
  <c r="P106" i="1" s="1"/>
  <c r="N58" i="1"/>
  <c r="P58" i="1" s="1"/>
  <c r="N10" i="1"/>
  <c r="P10" i="1" s="1"/>
  <c r="O531" i="1"/>
  <c r="O483" i="1"/>
  <c r="Q665" i="1"/>
  <c r="Q17" i="1"/>
  <c r="Q715" i="1"/>
  <c r="Q679" i="1"/>
  <c r="Q655" i="1"/>
  <c r="Q631" i="1"/>
  <c r="Q595" i="1"/>
  <c r="Q559" i="1"/>
  <c r="Q535" i="1"/>
  <c r="Q499" i="1"/>
  <c r="Q475" i="1"/>
  <c r="Q451" i="1"/>
  <c r="Q427" i="1"/>
  <c r="Q403" i="1"/>
  <c r="Q379" i="1"/>
  <c r="Q355" i="1"/>
  <c r="Q319" i="1"/>
  <c r="Q295" i="1"/>
  <c r="Q271" i="1"/>
  <c r="Q247" i="1"/>
  <c r="Q223" i="1"/>
  <c r="Q199" i="1"/>
  <c r="Q163" i="1"/>
  <c r="Q139" i="1"/>
  <c r="Q115" i="1"/>
  <c r="Q103" i="1"/>
  <c r="Q79" i="1"/>
  <c r="Q55" i="1"/>
  <c r="Q43" i="1"/>
  <c r="Q19" i="1"/>
  <c r="Q7" i="1"/>
  <c r="Q714" i="1"/>
  <c r="Q702" i="1"/>
  <c r="Q690" i="1"/>
  <c r="Q678" i="1"/>
  <c r="Q666" i="1"/>
  <c r="Q654" i="1"/>
  <c r="Q642" i="1"/>
  <c r="Q630" i="1"/>
  <c r="Q618" i="1"/>
  <c r="Q606" i="1"/>
  <c r="Q594" i="1"/>
  <c r="Q582" i="1"/>
  <c r="Q570" i="1"/>
  <c r="Q558" i="1"/>
  <c r="Q546" i="1"/>
  <c r="Q534" i="1"/>
  <c r="Q522" i="1"/>
  <c r="Q510" i="1"/>
  <c r="Q498" i="1"/>
  <c r="Q486" i="1"/>
  <c r="Q474" i="1"/>
  <c r="Q462" i="1"/>
  <c r="Q450" i="1"/>
  <c r="Q438" i="1"/>
  <c r="Q426" i="1"/>
  <c r="Q414" i="1"/>
  <c r="Q402" i="1"/>
  <c r="Q390" i="1"/>
  <c r="Q378" i="1"/>
  <c r="Q366" i="1"/>
  <c r="Q354" i="1"/>
  <c r="Q342" i="1"/>
  <c r="Q330" i="1"/>
  <c r="Q318" i="1"/>
  <c r="Q306" i="1"/>
  <c r="Q294" i="1"/>
  <c r="Q282" i="1"/>
  <c r="Q270" i="1"/>
  <c r="Q258" i="1"/>
  <c r="Q246" i="1"/>
  <c r="Q234" i="1"/>
  <c r="Q222" i="1"/>
  <c r="Q210" i="1"/>
  <c r="Q198" i="1"/>
  <c r="Q186" i="1"/>
  <c r="Q174" i="1"/>
  <c r="Q162" i="1"/>
  <c r="Q150" i="1"/>
  <c r="Q138" i="1"/>
  <c r="Q126" i="1"/>
  <c r="Q114" i="1"/>
  <c r="Q102" i="1"/>
  <c r="Q90" i="1"/>
  <c r="Q78" i="1"/>
  <c r="Q66" i="1"/>
  <c r="Q54" i="1"/>
  <c r="Q42" i="1"/>
  <c r="Q30" i="1"/>
  <c r="Q18" i="1"/>
  <c r="Q6" i="1"/>
  <c r="N625" i="1"/>
  <c r="P625" i="1" s="1"/>
  <c r="N589" i="1"/>
  <c r="P589" i="1" s="1"/>
  <c r="N553" i="1"/>
  <c r="P553" i="1" s="1"/>
  <c r="N517" i="1"/>
  <c r="P517" i="1" s="1"/>
  <c r="N481" i="1"/>
  <c r="P481" i="1" s="1"/>
  <c r="N433" i="1"/>
  <c r="P433" i="1" s="1"/>
  <c r="N385" i="1"/>
  <c r="P385" i="1" s="1"/>
  <c r="N337" i="1"/>
  <c r="P337" i="1" s="1"/>
  <c r="N289" i="1"/>
  <c r="P289" i="1" s="1"/>
  <c r="N241" i="1"/>
  <c r="P241" i="1" s="1"/>
  <c r="N193" i="1"/>
  <c r="P193" i="1" s="1"/>
  <c r="N145" i="1"/>
  <c r="P145" i="1" s="1"/>
  <c r="N97" i="1"/>
  <c r="P97" i="1" s="1"/>
  <c r="N49" i="1"/>
  <c r="P49" i="1" s="1"/>
  <c r="O721" i="1"/>
  <c r="O620" i="1"/>
  <c r="O474" i="1"/>
  <c r="O426" i="1"/>
  <c r="O378" i="1"/>
  <c r="O330" i="1"/>
  <c r="N623" i="1"/>
  <c r="P623" i="1" s="1"/>
  <c r="N587" i="1"/>
  <c r="P587" i="1" s="1"/>
  <c r="N551" i="1"/>
  <c r="P551" i="1" s="1"/>
  <c r="N515" i="1"/>
  <c r="P515" i="1" s="1"/>
  <c r="N479" i="1"/>
  <c r="P479" i="1" s="1"/>
  <c r="N431" i="1"/>
  <c r="P431" i="1" s="1"/>
  <c r="N383" i="1"/>
  <c r="P383" i="1" s="1"/>
  <c r="N335" i="1"/>
  <c r="P335" i="1" s="1"/>
  <c r="N287" i="1"/>
  <c r="P287" i="1" s="1"/>
  <c r="N239" i="1"/>
  <c r="P239" i="1" s="1"/>
  <c r="N191" i="1"/>
  <c r="P191" i="1" s="1"/>
  <c r="N143" i="1"/>
  <c r="P143" i="1" s="1"/>
  <c r="N95" i="1"/>
  <c r="P95" i="1" s="1"/>
  <c r="N47" i="1"/>
  <c r="P47" i="1" s="1"/>
  <c r="O568" i="1"/>
  <c r="O520" i="1"/>
  <c r="O472" i="1"/>
  <c r="O300" i="1"/>
  <c r="O288" i="1"/>
  <c r="O276" i="1"/>
  <c r="O264" i="1"/>
  <c r="O252" i="1"/>
  <c r="O240" i="1"/>
  <c r="O228" i="1"/>
  <c r="O216" i="1"/>
  <c r="O204" i="1"/>
  <c r="O192" i="1"/>
  <c r="O180" i="1"/>
  <c r="O168" i="1"/>
  <c r="O156" i="1"/>
  <c r="O144" i="1"/>
  <c r="O132" i="1"/>
  <c r="O120" i="1"/>
  <c r="O108" i="1"/>
  <c r="O96" i="1"/>
  <c r="O84" i="1"/>
  <c r="O72" i="1"/>
  <c r="O60" i="1"/>
  <c r="O48" i="1"/>
  <c r="O36" i="1"/>
  <c r="O24" i="1"/>
  <c r="O12" i="1"/>
  <c r="N552" i="1"/>
  <c r="P552" i="1" s="1"/>
  <c r="N540" i="1"/>
  <c r="P540" i="1" s="1"/>
  <c r="N528" i="1"/>
  <c r="P528" i="1" s="1"/>
  <c r="N516" i="1"/>
  <c r="P516" i="1" s="1"/>
  <c r="N504" i="1"/>
  <c r="P504" i="1" s="1"/>
  <c r="N492" i="1"/>
  <c r="P492" i="1" s="1"/>
  <c r="N480" i="1"/>
  <c r="P480" i="1" s="1"/>
  <c r="N468" i="1"/>
  <c r="P468" i="1" s="1"/>
  <c r="N456" i="1"/>
  <c r="P456" i="1" s="1"/>
  <c r="N444" i="1"/>
  <c r="P444" i="1" s="1"/>
  <c r="N432" i="1"/>
  <c r="P432" i="1" s="1"/>
  <c r="N420" i="1"/>
  <c r="P420" i="1" s="1"/>
  <c r="N408" i="1"/>
  <c r="P408" i="1" s="1"/>
  <c r="N396" i="1"/>
  <c r="P396" i="1" s="1"/>
  <c r="N384" i="1"/>
  <c r="P384" i="1" s="1"/>
  <c r="N372" i="1"/>
  <c r="P372" i="1" s="1"/>
  <c r="N360" i="1"/>
  <c r="P360" i="1" s="1"/>
  <c r="N348" i="1"/>
  <c r="P348" i="1" s="1"/>
  <c r="N336" i="1"/>
  <c r="P336" i="1" s="1"/>
  <c r="N324" i="1"/>
  <c r="P324" i="1" s="1"/>
  <c r="N312" i="1"/>
  <c r="P312" i="1" s="1"/>
  <c r="N300" i="1"/>
  <c r="P300" i="1" s="1"/>
  <c r="N288" i="1"/>
  <c r="P288" i="1" s="1"/>
  <c r="N276" i="1"/>
  <c r="P276" i="1" s="1"/>
  <c r="N264" i="1"/>
  <c r="P264" i="1" s="1"/>
  <c r="N252" i="1"/>
  <c r="P252" i="1" s="1"/>
  <c r="N240" i="1"/>
  <c r="P240" i="1" s="1"/>
  <c r="N228" i="1"/>
  <c r="P228" i="1" s="1"/>
  <c r="N216" i="1"/>
  <c r="P216" i="1" s="1"/>
  <c r="N204" i="1"/>
  <c r="P204" i="1" s="1"/>
  <c r="N192" i="1"/>
  <c r="P192" i="1" s="1"/>
  <c r="N180" i="1"/>
  <c r="P180" i="1" s="1"/>
  <c r="N168" i="1"/>
  <c r="P168" i="1" s="1"/>
  <c r="N156" i="1"/>
  <c r="P156" i="1" s="1"/>
  <c r="N144" i="1"/>
  <c r="P144" i="1" s="1"/>
  <c r="N132" i="1"/>
  <c r="P132" i="1" s="1"/>
  <c r="N120" i="1"/>
  <c r="P120" i="1" s="1"/>
  <c r="N108" i="1"/>
  <c r="P108" i="1" s="1"/>
  <c r="N96" i="1"/>
  <c r="P96" i="1" s="1"/>
  <c r="N84" i="1"/>
  <c r="P84" i="1" s="1"/>
  <c r="N72" i="1"/>
  <c r="P72" i="1" s="1"/>
  <c r="N60" i="1"/>
  <c r="P60" i="1" s="1"/>
  <c r="N48" i="1"/>
  <c r="P48" i="1" s="1"/>
  <c r="N36" i="1"/>
  <c r="P36" i="1" s="1"/>
  <c r="N24" i="1"/>
  <c r="P24" i="1" s="1"/>
  <c r="N12" i="1"/>
  <c r="P12" i="1" s="1"/>
  <c r="O569" i="1"/>
  <c r="O557" i="1"/>
  <c r="O545" i="1"/>
  <c r="O533" i="1"/>
  <c r="O521" i="1"/>
  <c r="O509" i="1"/>
  <c r="O497" i="1"/>
  <c r="O485" i="1"/>
  <c r="O473" i="1"/>
  <c r="O461" i="1"/>
  <c r="O449" i="1"/>
  <c r="O437" i="1"/>
  <c r="O425" i="1"/>
  <c r="O413" i="1"/>
  <c r="O401" i="1"/>
  <c r="O389" i="1"/>
  <c r="O377" i="1"/>
  <c r="O365" i="1"/>
  <c r="O353" i="1"/>
  <c r="O341" i="1"/>
  <c r="O329" i="1"/>
  <c r="O317" i="1"/>
  <c r="O305" i="1"/>
  <c r="O249" i="1"/>
  <c r="O177" i="1"/>
  <c r="O105" i="1"/>
  <c r="O33" i="1"/>
  <c r="N693" i="1"/>
  <c r="P693" i="1" s="1"/>
  <c r="N681" i="1"/>
  <c r="P681" i="1" s="1"/>
  <c r="N669" i="1"/>
  <c r="P669" i="1" s="1"/>
  <c r="N657" i="1"/>
  <c r="P657" i="1" s="1"/>
  <c r="N621" i="1"/>
  <c r="P621" i="1" s="1"/>
  <c r="N609" i="1"/>
  <c r="P609" i="1" s="1"/>
  <c r="N597" i="1"/>
  <c r="P597" i="1" s="1"/>
  <c r="N585" i="1"/>
  <c r="P585" i="1" s="1"/>
  <c r="N573" i="1"/>
  <c r="P573" i="1" s="1"/>
  <c r="N561" i="1"/>
  <c r="P561" i="1" s="1"/>
  <c r="N549" i="1"/>
  <c r="P549" i="1" s="1"/>
  <c r="N537" i="1"/>
  <c r="P537" i="1" s="1"/>
  <c r="N525" i="1"/>
  <c r="P525" i="1" s="1"/>
  <c r="N513" i="1"/>
  <c r="P513" i="1" s="1"/>
  <c r="N501" i="1"/>
  <c r="P501" i="1" s="1"/>
  <c r="N489" i="1"/>
  <c r="P489" i="1" s="1"/>
  <c r="N477" i="1"/>
  <c r="P477" i="1" s="1"/>
  <c r="N465" i="1"/>
  <c r="P465" i="1" s="1"/>
  <c r="N453" i="1"/>
  <c r="P453" i="1" s="1"/>
  <c r="N441" i="1"/>
  <c r="P441" i="1" s="1"/>
  <c r="N429" i="1"/>
  <c r="P429" i="1" s="1"/>
  <c r="N417" i="1"/>
  <c r="P417" i="1" s="1"/>
  <c r="N405" i="1"/>
  <c r="P405" i="1" s="1"/>
  <c r="N393" i="1"/>
  <c r="P393" i="1" s="1"/>
  <c r="N381" i="1"/>
  <c r="P381" i="1" s="1"/>
  <c r="N369" i="1"/>
  <c r="P369" i="1" s="1"/>
  <c r="N357" i="1"/>
  <c r="P357" i="1" s="1"/>
  <c r="N345" i="1"/>
  <c r="P345" i="1" s="1"/>
  <c r="N333" i="1"/>
  <c r="P333" i="1" s="1"/>
  <c r="N321" i="1"/>
  <c r="P321" i="1" s="1"/>
  <c r="N309" i="1"/>
  <c r="P309" i="1" s="1"/>
  <c r="N297" i="1"/>
  <c r="P297" i="1" s="1"/>
  <c r="N285" i="1"/>
  <c r="P285" i="1" s="1"/>
  <c r="N273" i="1"/>
  <c r="P273" i="1" s="1"/>
  <c r="N261" i="1"/>
  <c r="P261" i="1" s="1"/>
  <c r="N225" i="1"/>
  <c r="P225" i="1" s="1"/>
  <c r="N213" i="1"/>
  <c r="P213" i="1" s="1"/>
  <c r="N201" i="1"/>
  <c r="P201" i="1" s="1"/>
  <c r="N189" i="1"/>
  <c r="P189" i="1" s="1"/>
  <c r="N153" i="1"/>
  <c r="P153" i="1" s="1"/>
  <c r="N141" i="1"/>
  <c r="P141" i="1" s="1"/>
  <c r="N129" i="1"/>
  <c r="P129" i="1" s="1"/>
  <c r="N117" i="1"/>
  <c r="P117" i="1" s="1"/>
  <c r="N81" i="1"/>
  <c r="P81" i="1" s="1"/>
  <c r="N69" i="1"/>
  <c r="P69" i="1" s="1"/>
  <c r="N57" i="1"/>
  <c r="P57" i="1" s="1"/>
  <c r="N45" i="1"/>
  <c r="P45" i="1" s="1"/>
  <c r="N9" i="1"/>
  <c r="P9" i="1" s="1"/>
  <c r="O628" i="1"/>
  <c r="O616" i="1"/>
  <c r="O604" i="1"/>
  <c r="O592" i="1"/>
  <c r="O580" i="1"/>
  <c r="O566" i="1"/>
  <c r="O554" i="1"/>
  <c r="O542" i="1"/>
  <c r="O530" i="1"/>
  <c r="O518" i="1"/>
  <c r="O506" i="1"/>
  <c r="O494" i="1"/>
  <c r="O482" i="1"/>
  <c r="O470" i="1"/>
  <c r="O458" i="1"/>
  <c r="O446" i="1"/>
  <c r="O434" i="1"/>
  <c r="O422" i="1"/>
  <c r="O410" i="1"/>
  <c r="O398" i="1"/>
  <c r="O386" i="1"/>
  <c r="O374" i="1"/>
  <c r="O362" i="1"/>
  <c r="O350" i="1"/>
  <c r="O338" i="1"/>
  <c r="O326" i="1"/>
  <c r="O314" i="1"/>
  <c r="O302" i="1"/>
  <c r="O232" i="1"/>
  <c r="O160" i="1"/>
  <c r="O88" i="1"/>
  <c r="O16" i="1"/>
  <c r="O296" i="1"/>
  <c r="O284" i="1"/>
  <c r="O272" i="1"/>
  <c r="O260" i="1"/>
  <c r="O248" i="1"/>
  <c r="O236" i="1"/>
  <c r="O224" i="1"/>
  <c r="O212" i="1"/>
  <c r="O200" i="1"/>
  <c r="O188" i="1"/>
  <c r="O176" i="1"/>
  <c r="O164" i="1"/>
  <c r="O152" i="1"/>
  <c r="O140" i="1"/>
  <c r="O128" i="1"/>
  <c r="N656" i="1"/>
  <c r="P656" i="1" s="1"/>
  <c r="N560" i="1"/>
  <c r="P560" i="1" s="1"/>
  <c r="N548" i="1"/>
  <c r="P548" i="1" s="1"/>
  <c r="N536" i="1"/>
  <c r="P536" i="1" s="1"/>
  <c r="N524" i="1"/>
  <c r="P524" i="1" s="1"/>
  <c r="N512" i="1"/>
  <c r="P512" i="1" s="1"/>
  <c r="N500" i="1"/>
  <c r="P500" i="1" s="1"/>
  <c r="N488" i="1"/>
  <c r="P488" i="1" s="1"/>
  <c r="N476" i="1"/>
  <c r="P476" i="1" s="1"/>
  <c r="N464" i="1"/>
  <c r="P464" i="1" s="1"/>
  <c r="N452" i="1"/>
  <c r="P452" i="1" s="1"/>
  <c r="N440" i="1"/>
  <c r="P440" i="1" s="1"/>
  <c r="N428" i="1"/>
  <c r="P428" i="1" s="1"/>
  <c r="N416" i="1"/>
  <c r="P416" i="1" s="1"/>
  <c r="N404" i="1"/>
  <c r="P404" i="1" s="1"/>
  <c r="N392" i="1"/>
  <c r="P392" i="1" s="1"/>
  <c r="N380" i="1"/>
  <c r="P380" i="1" s="1"/>
  <c r="N368" i="1"/>
  <c r="P368" i="1" s="1"/>
  <c r="N356" i="1"/>
  <c r="P356" i="1" s="1"/>
  <c r="N344" i="1"/>
  <c r="P344" i="1" s="1"/>
  <c r="N332" i="1"/>
  <c r="P332" i="1" s="1"/>
  <c r="N320" i="1"/>
  <c r="P320" i="1" s="1"/>
  <c r="N308" i="1"/>
  <c r="P308" i="1" s="1"/>
  <c r="N296" i="1"/>
  <c r="P296" i="1" s="1"/>
  <c r="N284" i="1"/>
  <c r="P284" i="1" s="1"/>
  <c r="N272" i="1"/>
  <c r="P272" i="1" s="1"/>
  <c r="N260" i="1"/>
  <c r="P260" i="1" s="1"/>
  <c r="N248" i="1"/>
  <c r="P248" i="1" s="1"/>
  <c r="N236" i="1"/>
  <c r="P236" i="1" s="1"/>
  <c r="N224" i="1"/>
  <c r="P224" i="1" s="1"/>
  <c r="N212" i="1"/>
  <c r="P212" i="1" s="1"/>
  <c r="N200" i="1"/>
  <c r="P200" i="1" s="1"/>
  <c r="N188" i="1"/>
  <c r="P188" i="1" s="1"/>
  <c r="N176" i="1"/>
  <c r="P176" i="1" s="1"/>
  <c r="N164" i="1"/>
  <c r="P164" i="1" s="1"/>
  <c r="N152" i="1"/>
  <c r="P152" i="1" s="1"/>
  <c r="N140" i="1"/>
  <c r="P140" i="1" s="1"/>
  <c r="N128" i="1"/>
  <c r="P128" i="1" s="1"/>
  <c r="N116" i="1"/>
  <c r="P116" i="1" s="1"/>
  <c r="N104" i="1"/>
  <c r="P104" i="1" s="1"/>
  <c r="N92" i="1"/>
  <c r="P92" i="1" s="1"/>
  <c r="N80" i="1"/>
  <c r="P80" i="1" s="1"/>
  <c r="N68" i="1"/>
  <c r="P68" i="1" s="1"/>
  <c r="N56" i="1"/>
  <c r="P56" i="1" s="1"/>
  <c r="N44" i="1"/>
  <c r="P44" i="1" s="1"/>
  <c r="N32" i="1"/>
  <c r="P32" i="1" s="1"/>
  <c r="N20" i="1"/>
  <c r="P20" i="1" s="1"/>
  <c r="N8" i="1"/>
  <c r="P8" i="1" s="1"/>
  <c r="O578" i="1"/>
  <c r="O295" i="1"/>
  <c r="O283" i="1"/>
  <c r="O271" i="1"/>
  <c r="O259" i="1"/>
  <c r="O247" i="1"/>
  <c r="O235" i="1"/>
  <c r="O223" i="1"/>
  <c r="O211" i="1"/>
  <c r="O199" i="1"/>
  <c r="O187" i="1"/>
  <c r="O175" i="1"/>
  <c r="O163" i="1"/>
  <c r="O151" i="1"/>
  <c r="O139" i="1"/>
  <c r="O127" i="1"/>
  <c r="O115" i="1"/>
  <c r="O103" i="1"/>
  <c r="O91" i="1"/>
  <c r="O79" i="1"/>
  <c r="O67" i="1"/>
  <c r="O55" i="1"/>
  <c r="O43" i="1"/>
  <c r="O31" i="1"/>
  <c r="O19" i="1"/>
  <c r="O7" i="1"/>
  <c r="N559" i="1"/>
  <c r="P559" i="1" s="1"/>
  <c r="N547" i="1"/>
  <c r="P547" i="1" s="1"/>
  <c r="N535" i="1"/>
  <c r="P535" i="1" s="1"/>
  <c r="N523" i="1"/>
  <c r="P523" i="1" s="1"/>
  <c r="N511" i="1"/>
  <c r="P511" i="1" s="1"/>
  <c r="N499" i="1"/>
  <c r="P499" i="1" s="1"/>
  <c r="N487" i="1"/>
  <c r="P487" i="1" s="1"/>
  <c r="N475" i="1"/>
  <c r="P475" i="1" s="1"/>
  <c r="N463" i="1"/>
  <c r="P463" i="1" s="1"/>
  <c r="N451" i="1"/>
  <c r="P451" i="1" s="1"/>
  <c r="N439" i="1"/>
  <c r="P439" i="1" s="1"/>
  <c r="N427" i="1"/>
  <c r="P427" i="1" s="1"/>
  <c r="N415" i="1"/>
  <c r="P415" i="1" s="1"/>
  <c r="N403" i="1"/>
  <c r="P403" i="1" s="1"/>
  <c r="N391" i="1"/>
  <c r="P391" i="1" s="1"/>
  <c r="N379" i="1"/>
  <c r="P379" i="1" s="1"/>
  <c r="N367" i="1"/>
  <c r="P367" i="1" s="1"/>
  <c r="N355" i="1"/>
  <c r="P355" i="1" s="1"/>
  <c r="N343" i="1"/>
  <c r="P343" i="1" s="1"/>
  <c r="N331" i="1"/>
  <c r="P331" i="1" s="1"/>
  <c r="N319" i="1"/>
  <c r="P319" i="1" s="1"/>
  <c r="N307" i="1"/>
  <c r="P307" i="1" s="1"/>
  <c r="N295" i="1"/>
  <c r="P295" i="1" s="1"/>
  <c r="N283" i="1"/>
  <c r="P283" i="1" s="1"/>
  <c r="N271" i="1"/>
  <c r="P271" i="1" s="1"/>
  <c r="N259" i="1"/>
  <c r="P259" i="1" s="1"/>
  <c r="N247" i="1"/>
  <c r="P247" i="1" s="1"/>
  <c r="N235" i="1"/>
  <c r="P235" i="1" s="1"/>
  <c r="N223" i="1"/>
  <c r="P223" i="1" s="1"/>
  <c r="N211" i="1"/>
  <c r="P211" i="1" s="1"/>
  <c r="N199" i="1"/>
  <c r="P199" i="1" s="1"/>
  <c r="N187" i="1"/>
  <c r="P187" i="1" s="1"/>
  <c r="N175" i="1"/>
  <c r="P175" i="1" s="1"/>
  <c r="N163" i="1"/>
  <c r="P163" i="1" s="1"/>
  <c r="N151" i="1"/>
  <c r="P151" i="1" s="1"/>
  <c r="N139" i="1"/>
  <c r="P139" i="1" s="1"/>
  <c r="N127" i="1"/>
  <c r="P127" i="1" s="1"/>
  <c r="N115" i="1"/>
  <c r="P115" i="1" s="1"/>
  <c r="N103" i="1"/>
  <c r="P103" i="1" s="1"/>
  <c r="N91" i="1"/>
  <c r="P91" i="1" s="1"/>
  <c r="N79" i="1"/>
  <c r="P79" i="1" s="1"/>
  <c r="N67" i="1"/>
  <c r="P67" i="1" s="1"/>
  <c r="N55" i="1"/>
  <c r="P55" i="1" s="1"/>
  <c r="N43" i="1"/>
  <c r="P43" i="1" s="1"/>
  <c r="N31" i="1"/>
  <c r="P31" i="1" s="1"/>
  <c r="N19" i="1"/>
  <c r="P19" i="1" s="1"/>
  <c r="N7" i="1"/>
  <c r="P7" i="1" s="1"/>
  <c r="O641" i="1"/>
  <c r="O626" i="1"/>
  <c r="O614" i="1"/>
  <c r="O602" i="1"/>
  <c r="O590" i="1"/>
  <c r="O292" i="1"/>
  <c r="O220" i="1"/>
  <c r="O148" i="1"/>
  <c r="O76" i="1"/>
  <c r="O4" i="1"/>
  <c r="O653" i="1"/>
  <c r="N713" i="1"/>
  <c r="P713" i="1" s="1"/>
  <c r="N701" i="1"/>
  <c r="P701" i="1" s="1"/>
  <c r="N689" i="1"/>
  <c r="P689" i="1" s="1"/>
  <c r="N677" i="1"/>
  <c r="P677" i="1" s="1"/>
  <c r="N665" i="1"/>
  <c r="P665" i="1" s="1"/>
  <c r="N293" i="1"/>
  <c r="P293" i="1" s="1"/>
  <c r="N281" i="1"/>
  <c r="P281" i="1" s="1"/>
  <c r="N269" i="1"/>
  <c r="P269" i="1" s="1"/>
  <c r="N257" i="1"/>
  <c r="P257" i="1" s="1"/>
  <c r="N245" i="1"/>
  <c r="P245" i="1" s="1"/>
  <c r="N233" i="1"/>
  <c r="P233" i="1" s="1"/>
  <c r="N221" i="1"/>
  <c r="P221" i="1" s="1"/>
  <c r="N209" i="1"/>
  <c r="P209" i="1" s="1"/>
  <c r="N197" i="1"/>
  <c r="P197" i="1" s="1"/>
  <c r="N185" i="1"/>
  <c r="P185" i="1" s="1"/>
  <c r="N173" i="1"/>
  <c r="P173" i="1" s="1"/>
  <c r="N161" i="1"/>
  <c r="P161" i="1" s="1"/>
  <c r="N149" i="1"/>
  <c r="P149" i="1" s="1"/>
  <c r="N137" i="1"/>
  <c r="P137" i="1" s="1"/>
  <c r="N125" i="1"/>
  <c r="P125" i="1" s="1"/>
  <c r="N113" i="1"/>
  <c r="P113" i="1" s="1"/>
  <c r="N101" i="1"/>
  <c r="P101" i="1" s="1"/>
  <c r="N89" i="1"/>
  <c r="P89" i="1" s="1"/>
  <c r="N77" i="1"/>
  <c r="P77" i="1" s="1"/>
  <c r="N65" i="1"/>
  <c r="P65" i="1" s="1"/>
  <c r="N53" i="1"/>
  <c r="P53" i="1" s="1"/>
  <c r="N41" i="1"/>
  <c r="P41" i="1" s="1"/>
  <c r="N29" i="1"/>
  <c r="P29" i="1" s="1"/>
  <c r="N17" i="1"/>
  <c r="P17" i="1" s="1"/>
  <c r="N5" i="1"/>
  <c r="P5" i="1" s="1"/>
  <c r="O652" i="1"/>
  <c r="O280" i="1"/>
  <c r="O208" i="1"/>
  <c r="O136" i="1"/>
  <c r="O64" i="1"/>
  <c r="N712" i="1"/>
  <c r="P712" i="1" s="1"/>
  <c r="N700" i="1"/>
  <c r="P700" i="1" s="1"/>
  <c r="N688" i="1"/>
  <c r="P688" i="1" s="1"/>
  <c r="N676" i="1"/>
  <c r="P676" i="1" s="1"/>
  <c r="N664" i="1"/>
  <c r="P664" i="1" s="1"/>
  <c r="N268" i="1"/>
  <c r="P268" i="1" s="1"/>
  <c r="N196" i="1"/>
  <c r="P196" i="1" s="1"/>
  <c r="N124" i="1"/>
  <c r="P124" i="1" s="1"/>
  <c r="N52" i="1"/>
  <c r="P52" i="1" s="1"/>
  <c r="N291" i="1"/>
  <c r="P291" i="1" s="1"/>
  <c r="N279" i="1"/>
  <c r="P279" i="1" s="1"/>
  <c r="N267" i="1"/>
  <c r="P267" i="1" s="1"/>
  <c r="N255" i="1"/>
  <c r="P255" i="1" s="1"/>
  <c r="N243" i="1"/>
  <c r="P243" i="1" s="1"/>
  <c r="N231" i="1"/>
  <c r="P231" i="1" s="1"/>
  <c r="N219" i="1"/>
  <c r="P219" i="1" s="1"/>
  <c r="N207" i="1"/>
  <c r="P207" i="1" s="1"/>
  <c r="N195" i="1"/>
  <c r="P195" i="1" s="1"/>
  <c r="N183" i="1"/>
  <c r="P183" i="1" s="1"/>
  <c r="N171" i="1"/>
  <c r="P171" i="1" s="1"/>
  <c r="N159" i="1"/>
  <c r="P159" i="1" s="1"/>
  <c r="N147" i="1"/>
  <c r="P147" i="1" s="1"/>
  <c r="N135" i="1"/>
  <c r="P135" i="1" s="1"/>
  <c r="N123" i="1"/>
  <c r="P123" i="1" s="1"/>
  <c r="N111" i="1"/>
  <c r="P111" i="1" s="1"/>
  <c r="N99" i="1"/>
  <c r="P99" i="1" s="1"/>
  <c r="N87" i="1"/>
  <c r="P87" i="1" s="1"/>
  <c r="N75" i="1"/>
  <c r="P75" i="1" s="1"/>
  <c r="N63" i="1"/>
  <c r="P63" i="1" s="1"/>
  <c r="N51" i="1"/>
  <c r="P51" i="1" s="1"/>
  <c r="N39" i="1"/>
  <c r="P39" i="1" s="1"/>
  <c r="N27" i="1"/>
  <c r="P27" i="1" s="1"/>
  <c r="N15" i="1"/>
  <c r="P15" i="1" s="1"/>
  <c r="N3" i="1"/>
  <c r="P3" i="1" s="1"/>
  <c r="O650" i="1"/>
  <c r="O290" i="1"/>
  <c r="O278" i="1"/>
  <c r="O266" i="1"/>
  <c r="O254" i="1"/>
  <c r="O242" i="1"/>
  <c r="O230" i="1"/>
  <c r="O218" i="1"/>
  <c r="O206" i="1"/>
  <c r="O194" i="1"/>
  <c r="O182" i="1"/>
  <c r="O170" i="1"/>
  <c r="O158" i="1"/>
  <c r="O146" i="1"/>
  <c r="O134" i="1"/>
  <c r="O122" i="1"/>
  <c r="O110" i="1"/>
  <c r="O98" i="1"/>
  <c r="O86" i="1"/>
  <c r="O74" i="1"/>
  <c r="O62" i="1"/>
  <c r="O50" i="1"/>
  <c r="O38" i="1"/>
  <c r="O26" i="1"/>
  <c r="O14" i="1"/>
  <c r="O2" i="1"/>
  <c r="N710" i="1"/>
  <c r="P710" i="1" s="1"/>
  <c r="N698" i="1"/>
  <c r="P698" i="1" s="1"/>
  <c r="N686" i="1"/>
  <c r="P686" i="1" s="1"/>
  <c r="N674" i="1"/>
  <c r="P674" i="1" s="1"/>
  <c r="N662" i="1"/>
  <c r="P662" i="1" s="1"/>
  <c r="N290" i="1"/>
  <c r="P290" i="1" s="1"/>
  <c r="N278" i="1"/>
  <c r="P278" i="1" s="1"/>
  <c r="N266" i="1"/>
  <c r="P266" i="1" s="1"/>
  <c r="N254" i="1"/>
  <c r="P254" i="1" s="1"/>
  <c r="N242" i="1"/>
  <c r="P242" i="1" s="1"/>
  <c r="N230" i="1"/>
  <c r="P230" i="1" s="1"/>
  <c r="N218" i="1"/>
  <c r="P218" i="1" s="1"/>
  <c r="N206" i="1"/>
  <c r="P206" i="1" s="1"/>
  <c r="N194" i="1"/>
  <c r="P194" i="1" s="1"/>
  <c r="N182" i="1"/>
  <c r="P182" i="1" s="1"/>
  <c r="N170" i="1"/>
  <c r="P170" i="1" s="1"/>
  <c r="N158" i="1"/>
  <c r="P158" i="1" s="1"/>
  <c r="N146" i="1"/>
  <c r="P146" i="1" s="1"/>
  <c r="N134" i="1"/>
  <c r="P134" i="1" s="1"/>
  <c r="N122" i="1"/>
  <c r="P122" i="1" s="1"/>
  <c r="N110" i="1"/>
  <c r="P110" i="1" s="1"/>
  <c r="N98" i="1"/>
  <c r="P98" i="1" s="1"/>
  <c r="N86" i="1"/>
  <c r="P86" i="1" s="1"/>
  <c r="N74" i="1"/>
  <c r="P74" i="1" s="1"/>
  <c r="N62" i="1"/>
  <c r="P62" i="1" s="1"/>
  <c r="N50" i="1"/>
  <c r="P50" i="1" s="1"/>
  <c r="N38" i="1"/>
  <c r="P38" i="1" s="1"/>
  <c r="N26" i="1"/>
  <c r="P26" i="1" s="1"/>
  <c r="N14" i="1"/>
  <c r="P14" i="1" s="1"/>
  <c r="N2" i="1"/>
  <c r="P2" i="1" s="1"/>
</calcChain>
</file>

<file path=xl/sharedStrings.xml><?xml version="1.0" encoding="utf-8"?>
<sst xmlns="http://schemas.openxmlformats.org/spreadsheetml/2006/main" count="18" uniqueCount="18">
  <si>
    <t>Date</t>
  </si>
  <si>
    <t>Index</t>
  </si>
  <si>
    <t>Children_apprehended_and_placed_in_CBP_custody</t>
  </si>
  <si>
    <t>Children_transferred_out_of_CBP_custody</t>
  </si>
  <si>
    <t>Children_in_HHS_Care</t>
  </si>
  <si>
    <t>Children_discharged _from_HHS_ Care</t>
  </si>
  <si>
    <t>Transfer_Constraint_Validation</t>
  </si>
  <si>
    <t>Discharge_Constraint_Validation</t>
  </si>
  <si>
    <t>Total_Children_Under_Care</t>
  </si>
  <si>
    <t>Total_System_Load</t>
  </si>
  <si>
    <t>High_Load_Flag</t>
  </si>
  <si>
    <t>Net_Daily_Intake</t>
  </si>
  <si>
    <t>Change_in_Net_Daily_Intake</t>
  </si>
  <si>
    <t>Careload_Growth_Rate</t>
  </si>
  <si>
    <t>Backlog_Indicator</t>
  </si>
  <si>
    <t>Backlog_Accumulation_Rate</t>
  </si>
  <si>
    <t>Discharge_Offset_Ratio</t>
  </si>
  <si>
    <t>Children _in_CBP_custody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</si>
</sst>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  <xf numFmtId="1" fontId="16" fillId="0" borderId="0" xfId="0" applyNumberFormat="1" applyFont="1"/>
    <xf numFmtId="1" fontId="0" fillId="0" borderId="0" xfId="0" applyNumberFormat="1"/>
    <xf numFmtId="22" fontId="16" fillId="0" borderId="0" xfId="0" applyNumberFormat="1" applyFon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7" formatCode="dd/mm/yyyy\ hh:mm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CD953-86D7-47BC-BE19-300E60DA8044}" name="Table1" displayName="Table1" ref="A1:R721" totalsRowShown="0" headerRowDxfId="30">
  <tableColumns count="18">
    <tableColumn id="1" xr3:uid="{AD27B464-0014-494F-BB99-23927D71BB02}" name="Index"/>
    <tableColumn id="2" xr3:uid="{B13E2F22-6A59-49AE-8EE2-76CE496E4C64}" name="Date" dataDxfId="29"/>
    <tableColumn id="3" xr3:uid="{41DB3827-1CA8-4BDD-A706-AF4ED9DC3AFD}" name="Children_apprehended_and_placed_in_CBP_custody" dataDxfId="28"/>
    <tableColumn id="4" xr3:uid="{FF040E87-6EBA-433B-9378-75A1BA972CDA}" name="Children _in_CBP_custody" dataDxfId="27"/>
    <tableColumn id="5" xr3:uid="{6B6DD19F-FE0A-489D-AB31-5C6777812F58}" name="Children_transferred_out_of_CBP_custody" dataDxfId="26"/>
    <tableColumn id="6" xr3:uid="{FA66A036-FF43-435C-BA92-F92E7D535507}" name="Children_in_HHS_Care" dataDxfId="25"/>
    <tableColumn id="7" xr3:uid="{C9601CCD-698F-40CC-A4DD-8654B946C209}" name="Children_discharged _from_HHS_ Care" dataDxfId="24"/>
    <tableColumn id="8" xr3:uid="{DF1DF4BD-C4D9-43C2-9000-10043650DAD1}" name="Transfer_Constraint_Validation">
      <calculatedColumnFormula>IF(E2&lt;=D2,"Valid","Invalid")</calculatedColumnFormula>
    </tableColumn>
    <tableColumn id="9" xr3:uid="{915318DF-905C-40B5-92BB-67789606EE98}" name="Discharge_Constraint_Validation">
      <calculatedColumnFormula>IF(G2&lt;=F2,"Valid","Invalid")</calculatedColumnFormula>
    </tableColumn>
    <tableColumn id="10" xr3:uid="{B75C56C5-3DCE-46DD-A83E-4CD4929E2AFD}" name="Total_Children_Under_Care" dataDxfId="23">
      <calculatedColumnFormula>F2-G2</calculatedColumnFormula>
    </tableColumn>
    <tableColumn id="11" xr3:uid="{F126B40E-ACC6-459B-A80D-9A514BDC4472}" name="Total_System_Load" dataDxfId="22">
      <calculatedColumnFormula>D2+F2</calculatedColumnFormula>
    </tableColumn>
    <tableColumn id="17" xr3:uid="{723C8842-A0E7-4A8B-AD38-3B8794E60135}" name="High_Load_Flag" dataDxfId="21">
      <calculatedColumnFormula>IF(Table1[[#This Row],[Total_System_Load]]&gt;80%*AVERAGE(Table1[Total_System_Load]),Table1[[#This Row],[Total_System_Load]]-Table1[[#This Row],[Total_Children_Under_Care]],0)</calculatedColumnFormula>
    </tableColumn>
    <tableColumn id="12" xr3:uid="{73FDBB94-5916-4C0B-8A9B-5B007547313D}" name="Net_Daily_Intake" dataDxfId="20">
      <calculatedColumnFormula>E2-G2</calculatedColumnFormula>
    </tableColumn>
    <tableColumn id="19" xr3:uid="{703A1044-C3E5-46D9-9462-A05053303705}" name="Change_in_Net_Daily_Intake" dataDxfId="19">
      <calculatedColumnFormula>M3-Table1[[#This Row],[Net_Daily_Intake]]</calculatedColumnFormula>
    </tableColumn>
    <tableColumn id="13" xr3:uid="{CA1F9844-DE02-48C5-942D-D6F72B3580AF}" name="Careload_Growth_Rate" dataDxfId="18">
      <calculatedColumnFormula>M3-Table1[[#This Row],[Net_Daily_Intake]]/Table1[[#This Row],[Net_Daily_Intake]]</calculatedColumnFormula>
    </tableColumn>
    <tableColumn id="14" xr3:uid="{0B64F780-2F14-47B1-8F0D-8F0D2070942C}" name="Backlog_Indicator" dataDxfId="17">
      <calculatedColumnFormula>IF(Table1[[#This Row],[Change_in_Net_Daily_Intake]]&gt;0,"Sustained Positive","Negative")</calculatedColumnFormula>
    </tableColumn>
    <tableColumn id="15" xr3:uid="{7CF5E457-E6D9-4505-BF23-D88561F7DACB}" name="Backlog_Accumulation_Rate" dataDxfId="16">
      <calculatedColumnFormula>(Table1[[#This Row],[Total_System_Load]]-Table1[[#This Row],[Total_Children_Under_Care]])/Table1[[#This Row],[Total_Children_Under_Care]]*100</calculatedColumnFormula>
    </tableColumn>
    <tableColumn id="16" xr3:uid="{315AF2EE-59C3-4F16-AD23-B94D436EE549}" name="Discharge_Offset_Ratio" dataDxfId="15">
      <calculatedColumnFormula>(Table1[[#This Row],[Children_discharged _from_HHS_ Care]]/Table1[[#This Row],[Children_transferred_out_of_CBP_custody]])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9904-89F8-4429-86B4-088DCB31DF5F}">
  <dimension ref="A1:R721"/>
  <sheetViews>
    <sheetView tabSelected="1" zoomScale="81" workbookViewId="0">
      <selection activeCell="D1" sqref="D1"/>
    </sheetView>
  </sheetViews>
  <sheetFormatPr defaultRowHeight="14.4" x14ac:dyDescent="0.3"/>
  <cols>
    <col min="1" max="1" width="8.44140625" bestFit="1" customWidth="1"/>
    <col min="2" max="2" width="16.6640625" style="7" bestFit="1" customWidth="1"/>
    <col min="3" max="3" width="46.6640625" style="5" bestFit="1" customWidth="1"/>
    <col min="4" max="4" width="24.109375" style="5" bestFit="1" customWidth="1"/>
    <col min="5" max="5" width="38.33203125" style="5" bestFit="1" customWidth="1"/>
    <col min="6" max="6" width="21.5546875" style="5" bestFit="1" customWidth="1"/>
    <col min="7" max="7" width="34.21875" style="5" bestFit="1" customWidth="1"/>
    <col min="8" max="8" width="29.5546875" bestFit="1" customWidth="1"/>
    <col min="9" max="9" width="31" bestFit="1" customWidth="1"/>
    <col min="10" max="10" width="26.109375" style="5" bestFit="1" customWidth="1"/>
    <col min="11" max="11" width="19.33203125" style="5" bestFit="1" customWidth="1"/>
    <col min="12" max="12" width="19.33203125" style="5" customWidth="1"/>
    <col min="13" max="13" width="17.5546875" style="5" bestFit="1" customWidth="1"/>
    <col min="14" max="14" width="31.6640625" style="5" bestFit="1" customWidth="1"/>
    <col min="15" max="15" width="27.109375" style="5" customWidth="1"/>
    <col min="16" max="16" width="27.6640625" bestFit="1" customWidth="1"/>
    <col min="17" max="17" width="27.21875" style="1" bestFit="1" customWidth="1"/>
    <col min="18" max="18" width="23.109375" style="1" bestFit="1" customWidth="1"/>
  </cols>
  <sheetData>
    <row r="1" spans="1:18" x14ac:dyDescent="0.3">
      <c r="A1" s="2" t="s">
        <v>1</v>
      </c>
      <c r="B1" s="6" t="s">
        <v>0</v>
      </c>
      <c r="C1" s="4" t="s">
        <v>2</v>
      </c>
      <c r="D1" s="4" t="s">
        <v>17</v>
      </c>
      <c r="E1" s="4" t="s">
        <v>3</v>
      </c>
      <c r="F1" s="4" t="s">
        <v>4</v>
      </c>
      <c r="G1" s="4" t="s">
        <v>5</v>
      </c>
      <c r="H1" s="2" t="s">
        <v>6</v>
      </c>
      <c r="I1" s="2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2" t="s">
        <v>14</v>
      </c>
      <c r="Q1" s="3" t="s">
        <v>15</v>
      </c>
      <c r="R1" s="3" t="s">
        <v>16</v>
      </c>
    </row>
    <row r="2" spans="1:18" x14ac:dyDescent="0.3">
      <c r="A2">
        <v>1</v>
      </c>
      <c r="B2" s="7">
        <v>44938</v>
      </c>
      <c r="C2" s="5">
        <v>33</v>
      </c>
      <c r="D2" s="5">
        <v>53</v>
      </c>
      <c r="E2" s="5">
        <v>34</v>
      </c>
      <c r="F2" s="5">
        <v>6566</v>
      </c>
      <c r="G2" s="5">
        <v>436</v>
      </c>
      <c r="H2" t="str">
        <f>IF(E2&lt;=D2,"Valid","Invalid")</f>
        <v>Valid</v>
      </c>
      <c r="I2" t="str">
        <f>IF(G2&lt;=F2,"Valid","Invalid")</f>
        <v>Valid</v>
      </c>
      <c r="J2" s="5">
        <f>F2-G2</f>
        <v>6130</v>
      </c>
      <c r="K2" s="5">
        <f>D2+F2</f>
        <v>6619</v>
      </c>
      <c r="L2" s="5">
        <f>IF(Table1[[#This Row],[Total_System_Load]]&gt;80%*AVERAGE(Table1[Total_System_Load]),Table1[[#This Row],[Total_System_Load]]-Table1[[#This Row],[Total_Children_Under_Care]],0)</f>
        <v>489</v>
      </c>
      <c r="M2" s="5">
        <f t="shared" ref="M2:M65" si="0">E2-G2</f>
        <v>-402</v>
      </c>
      <c r="N2" s="5">
        <f>M3-Table1[[#This Row],[Net_Daily_Intake]]</f>
        <v>214</v>
      </c>
      <c r="O2" s="5">
        <f>M3-Table1[[#This Row],[Net_Daily_Intake]]/Table1[[#This Row],[Net_Daily_Intake]]</f>
        <v>-189</v>
      </c>
      <c r="P2" t="str">
        <f>IF(Table1[[#This Row],[Change_in_Net_Daily_Intake]]&gt;0,"Sustained Positive","Negative")</f>
        <v>Sustained Positive</v>
      </c>
      <c r="Q2" s="1">
        <f>(Table1[[#This Row],[Total_System_Load]]-Table1[[#This Row],[Total_Children_Under_Care]])/Table1[[#This Row],[Total_Children_Under_Care]]*100</f>
        <v>7.9771615008156607</v>
      </c>
      <c r="R2" s="1">
        <f>(Table1[[#This Row],[Children_discharged _from_HHS_ Care]]/Table1[[#This Row],[Children_transferred_out_of_CBP_custody]])</f>
        <v>12.823529411764707</v>
      </c>
    </row>
    <row r="3" spans="1:18" x14ac:dyDescent="0.3">
      <c r="A3">
        <v>2</v>
      </c>
      <c r="B3" s="7">
        <v>44948</v>
      </c>
      <c r="C3" s="5">
        <v>32</v>
      </c>
      <c r="D3" s="5">
        <v>49</v>
      </c>
      <c r="E3" s="5">
        <v>39</v>
      </c>
      <c r="F3" s="5">
        <v>7122</v>
      </c>
      <c r="G3" s="5">
        <v>227</v>
      </c>
      <c r="H3" t="str">
        <f t="shared" ref="H3:H66" si="1">IF(E3&lt;=D3,"Valid","Invalid")</f>
        <v>Valid</v>
      </c>
      <c r="I3" t="str">
        <f t="shared" ref="I3:I66" si="2">IF(G3&lt;=F3,"Valid","Invalid")</f>
        <v>Valid</v>
      </c>
      <c r="J3" s="5">
        <f t="shared" ref="J3:J66" si="3">F3-G3</f>
        <v>6895</v>
      </c>
      <c r="K3" s="5">
        <f t="shared" ref="K3:K66" si="4">D3+F3</f>
        <v>7171</v>
      </c>
      <c r="L3" s="5">
        <f>IF(Table1[[#This Row],[Total_System_Load]]&gt;80%*AVERAGE(Table1[Total_System_Load]),Table1[[#This Row],[Total_System_Load]]-Table1[[#This Row],[Total_Children_Under_Care]],0)</f>
        <v>276</v>
      </c>
      <c r="M3" s="5">
        <f t="shared" si="0"/>
        <v>-188</v>
      </c>
      <c r="N3" s="5">
        <f>M4-Table1[[#This Row],[Net_Daily_Intake]]</f>
        <v>46</v>
      </c>
      <c r="O3" s="5">
        <f>M4-Table1[[#This Row],[Net_Daily_Intake]]/Table1[[#This Row],[Net_Daily_Intake]]</f>
        <v>-143</v>
      </c>
      <c r="P3" t="str">
        <f>IF(Table1[[#This Row],[Change_in_Net_Daily_Intake]]&gt;0,"Sustained Positive","Negative")</f>
        <v>Sustained Positive</v>
      </c>
      <c r="Q3" s="1">
        <f>(Table1[[#This Row],[Total_System_Load]]-Table1[[#This Row],[Total_Children_Under_Care]])/Table1[[#This Row],[Total_Children_Under_Care]]*100</f>
        <v>4.0029006526468454</v>
      </c>
      <c r="R3" s="1">
        <f>(Table1[[#This Row],[Children_discharged _from_HHS_ Care]]/Table1[[#This Row],[Children_transferred_out_of_CBP_custody]])</f>
        <v>5.8205128205128203</v>
      </c>
    </row>
    <row r="4" spans="1:18" x14ac:dyDescent="0.3">
      <c r="A4">
        <v>3</v>
      </c>
      <c r="B4" s="7">
        <v>44949</v>
      </c>
      <c r="C4" s="5">
        <v>32</v>
      </c>
      <c r="D4" s="5">
        <v>50</v>
      </c>
      <c r="E4" s="5">
        <v>39</v>
      </c>
      <c r="F4" s="5">
        <v>7280</v>
      </c>
      <c r="G4" s="5">
        <v>181</v>
      </c>
      <c r="H4" t="str">
        <f t="shared" si="1"/>
        <v>Valid</v>
      </c>
      <c r="I4" t="str">
        <f t="shared" si="2"/>
        <v>Valid</v>
      </c>
      <c r="J4" s="5">
        <f t="shared" si="3"/>
        <v>7099</v>
      </c>
      <c r="K4" s="5">
        <f t="shared" si="4"/>
        <v>7330</v>
      </c>
      <c r="L4" s="5">
        <f>IF(Table1[[#This Row],[Total_System_Load]]&gt;80%*AVERAGE(Table1[Total_System_Load]),Table1[[#This Row],[Total_System_Load]]-Table1[[#This Row],[Total_Children_Under_Care]],0)</f>
        <v>231</v>
      </c>
      <c r="M4" s="5">
        <f t="shared" si="0"/>
        <v>-142</v>
      </c>
      <c r="N4" s="5">
        <f>M5-Table1[[#This Row],[Net_Daily_Intake]]</f>
        <v>14</v>
      </c>
      <c r="O4" s="5">
        <f>M5-Table1[[#This Row],[Net_Daily_Intake]]/Table1[[#This Row],[Net_Daily_Intake]]</f>
        <v>-129</v>
      </c>
      <c r="P4" t="str">
        <f>IF(Table1[[#This Row],[Change_in_Net_Daily_Intake]]&gt;0,"Sustained Positive","Negative")</f>
        <v>Sustained Positive</v>
      </c>
      <c r="Q4" s="1">
        <f>(Table1[[#This Row],[Total_System_Load]]-Table1[[#This Row],[Total_Children_Under_Care]])/Table1[[#This Row],[Total_Children_Under_Care]]*100</f>
        <v>3.2539794337230594</v>
      </c>
      <c r="R4" s="1">
        <f>(Table1[[#This Row],[Children_discharged _from_HHS_ Care]]/Table1[[#This Row],[Children_transferred_out_of_CBP_custody]])</f>
        <v>4.6410256410256414</v>
      </c>
    </row>
    <row r="5" spans="1:18" x14ac:dyDescent="0.3">
      <c r="A5">
        <v>4</v>
      </c>
      <c r="B5" s="7">
        <v>44950</v>
      </c>
      <c r="C5" s="5">
        <v>47</v>
      </c>
      <c r="D5" s="5">
        <v>42</v>
      </c>
      <c r="E5" s="5">
        <v>47</v>
      </c>
      <c r="F5" s="5">
        <v>7433</v>
      </c>
      <c r="G5" s="5">
        <v>175</v>
      </c>
      <c r="H5" t="str">
        <f t="shared" si="1"/>
        <v>Invalid</v>
      </c>
      <c r="I5" t="str">
        <f t="shared" si="2"/>
        <v>Valid</v>
      </c>
      <c r="J5" s="5">
        <f t="shared" si="3"/>
        <v>7258</v>
      </c>
      <c r="K5" s="5">
        <f t="shared" si="4"/>
        <v>7475</v>
      </c>
      <c r="L5" s="5">
        <f>IF(Table1[[#This Row],[Total_System_Load]]&gt;80%*AVERAGE(Table1[Total_System_Load]),Table1[[#This Row],[Total_System_Load]]-Table1[[#This Row],[Total_Children_Under_Care]],0)</f>
        <v>217</v>
      </c>
      <c r="M5" s="5">
        <f t="shared" si="0"/>
        <v>-128</v>
      </c>
      <c r="N5" s="5">
        <f>M6-Table1[[#This Row],[Net_Daily_Intake]]</f>
        <v>-11</v>
      </c>
      <c r="O5" s="5">
        <f>M6-Table1[[#This Row],[Net_Daily_Intake]]/Table1[[#This Row],[Net_Daily_Intake]]</f>
        <v>-140</v>
      </c>
      <c r="P5" t="str">
        <f>IF(Table1[[#This Row],[Change_in_Net_Daily_Intake]]&gt;0,"Sustained Positive","Negative")</f>
        <v>Negative</v>
      </c>
      <c r="Q5" s="1">
        <f>(Table1[[#This Row],[Total_System_Load]]-Table1[[#This Row],[Total_Children_Under_Care]])/Table1[[#This Row],[Total_Children_Under_Care]]*100</f>
        <v>2.9898043538164782</v>
      </c>
      <c r="R5" s="1">
        <f>(Table1[[#This Row],[Children_discharged _from_HHS_ Care]]/Table1[[#This Row],[Children_transferred_out_of_CBP_custody]])</f>
        <v>3.7234042553191489</v>
      </c>
    </row>
    <row r="6" spans="1:18" x14ac:dyDescent="0.3">
      <c r="A6">
        <v>5</v>
      </c>
      <c r="B6" s="7">
        <v>44951</v>
      </c>
      <c r="C6" s="5">
        <v>20</v>
      </c>
      <c r="D6" s="5">
        <v>22</v>
      </c>
      <c r="E6" s="5">
        <v>41</v>
      </c>
      <c r="F6" s="5">
        <v>7538</v>
      </c>
      <c r="G6" s="5">
        <v>180</v>
      </c>
      <c r="H6" t="str">
        <f t="shared" si="1"/>
        <v>Invalid</v>
      </c>
      <c r="I6" t="str">
        <f t="shared" si="2"/>
        <v>Valid</v>
      </c>
      <c r="J6" s="5">
        <f t="shared" si="3"/>
        <v>7358</v>
      </c>
      <c r="K6" s="5">
        <f t="shared" si="4"/>
        <v>7560</v>
      </c>
      <c r="L6" s="5">
        <f>IF(Table1[[#This Row],[Total_System_Load]]&gt;80%*AVERAGE(Table1[Total_System_Load]),Table1[[#This Row],[Total_System_Load]]-Table1[[#This Row],[Total_Children_Under_Care]],0)</f>
        <v>202</v>
      </c>
      <c r="M6" s="5">
        <f t="shared" si="0"/>
        <v>-139</v>
      </c>
      <c r="N6" s="5">
        <f>M7-Table1[[#This Row],[Net_Daily_Intake]]</f>
        <v>-153</v>
      </c>
      <c r="O6" s="5">
        <f>M7-Table1[[#This Row],[Net_Daily_Intake]]/Table1[[#This Row],[Net_Daily_Intake]]</f>
        <v>-293</v>
      </c>
      <c r="P6" t="str">
        <f>IF(Table1[[#This Row],[Change_in_Net_Daily_Intake]]&gt;0,"Sustained Positive","Negative")</f>
        <v>Negative</v>
      </c>
      <c r="Q6" s="1">
        <f>(Table1[[#This Row],[Total_System_Load]]-Table1[[#This Row],[Total_Children_Under_Care]])/Table1[[#This Row],[Total_Children_Under_Care]]*100</f>
        <v>2.745311225876597</v>
      </c>
      <c r="R6" s="1">
        <f>(Table1[[#This Row],[Children_discharged _from_HHS_ Care]]/Table1[[#This Row],[Children_transferred_out_of_CBP_custody]])</f>
        <v>4.3902439024390247</v>
      </c>
    </row>
    <row r="7" spans="1:18" x14ac:dyDescent="0.3">
      <c r="A7">
        <v>6</v>
      </c>
      <c r="B7" s="7">
        <v>44955</v>
      </c>
      <c r="C7" s="5">
        <v>23</v>
      </c>
      <c r="D7" s="5">
        <v>45</v>
      </c>
      <c r="E7" s="5">
        <v>11</v>
      </c>
      <c r="F7" s="5">
        <v>7472</v>
      </c>
      <c r="G7" s="5">
        <v>303</v>
      </c>
      <c r="H7" t="str">
        <f t="shared" si="1"/>
        <v>Valid</v>
      </c>
      <c r="I7" t="str">
        <f t="shared" si="2"/>
        <v>Valid</v>
      </c>
      <c r="J7" s="5">
        <f t="shared" si="3"/>
        <v>7169</v>
      </c>
      <c r="K7" s="5">
        <f t="shared" si="4"/>
        <v>7517</v>
      </c>
      <c r="L7" s="5">
        <f>IF(Table1[[#This Row],[Total_System_Load]]&gt;80%*AVERAGE(Table1[Total_System_Load]),Table1[[#This Row],[Total_System_Load]]-Table1[[#This Row],[Total_Children_Under_Care]],0)</f>
        <v>348</v>
      </c>
      <c r="M7" s="5">
        <f t="shared" si="0"/>
        <v>-292</v>
      </c>
      <c r="N7" s="5">
        <f>M8-Table1[[#This Row],[Net_Daily_Intake]]</f>
        <v>125</v>
      </c>
      <c r="O7" s="5">
        <f>M8-Table1[[#This Row],[Net_Daily_Intake]]/Table1[[#This Row],[Net_Daily_Intake]]</f>
        <v>-168</v>
      </c>
      <c r="P7" t="str">
        <f>IF(Table1[[#This Row],[Change_in_Net_Daily_Intake]]&gt;0,"Sustained Positive","Negative")</f>
        <v>Sustained Positive</v>
      </c>
      <c r="Q7" s="1">
        <f>(Table1[[#This Row],[Total_System_Load]]-Table1[[#This Row],[Total_Children_Under_Care]])/Table1[[#This Row],[Total_Children_Under_Care]]*100</f>
        <v>4.8542335053703445</v>
      </c>
      <c r="R7" s="1">
        <f>(Table1[[#This Row],[Children_discharged _from_HHS_ Care]]/Table1[[#This Row],[Children_transferred_out_of_CBP_custody]])</f>
        <v>27.545454545454547</v>
      </c>
    </row>
    <row r="8" spans="1:18" x14ac:dyDescent="0.3">
      <c r="A8">
        <v>7</v>
      </c>
      <c r="B8" s="7">
        <v>44956</v>
      </c>
      <c r="C8" s="5">
        <v>34</v>
      </c>
      <c r="D8" s="5">
        <v>54</v>
      </c>
      <c r="E8" s="5">
        <v>29</v>
      </c>
      <c r="F8" s="5">
        <v>7743</v>
      </c>
      <c r="G8" s="5">
        <v>196</v>
      </c>
      <c r="H8" t="str">
        <f t="shared" si="1"/>
        <v>Valid</v>
      </c>
      <c r="I8" t="str">
        <f t="shared" si="2"/>
        <v>Valid</v>
      </c>
      <c r="J8" s="5">
        <f t="shared" si="3"/>
        <v>7547</v>
      </c>
      <c r="K8" s="5">
        <f t="shared" si="4"/>
        <v>7797</v>
      </c>
      <c r="L8" s="5">
        <f>IF(Table1[[#This Row],[Total_System_Load]]&gt;80%*AVERAGE(Table1[Total_System_Load]),Table1[[#This Row],[Total_System_Load]]-Table1[[#This Row],[Total_Children_Under_Care]],0)</f>
        <v>250</v>
      </c>
      <c r="M8" s="5">
        <f t="shared" si="0"/>
        <v>-167</v>
      </c>
      <c r="N8" s="5">
        <f>M9-Table1[[#This Row],[Net_Daily_Intake]]</f>
        <v>45</v>
      </c>
      <c r="O8" s="5">
        <f>M9-Table1[[#This Row],[Net_Daily_Intake]]/Table1[[#This Row],[Net_Daily_Intake]]</f>
        <v>-123</v>
      </c>
      <c r="P8" t="str">
        <f>IF(Table1[[#This Row],[Change_in_Net_Daily_Intake]]&gt;0,"Sustained Positive","Negative")</f>
        <v>Sustained Positive</v>
      </c>
      <c r="Q8" s="1">
        <f>(Table1[[#This Row],[Total_System_Load]]-Table1[[#This Row],[Total_Children_Under_Care]])/Table1[[#This Row],[Total_Children_Under_Care]]*100</f>
        <v>3.3125745329269907</v>
      </c>
      <c r="R8" s="1">
        <f>(Table1[[#This Row],[Children_discharged _from_HHS_ Care]]/Table1[[#This Row],[Children_transferred_out_of_CBP_custody]])</f>
        <v>6.7586206896551726</v>
      </c>
    </row>
    <row r="9" spans="1:18" x14ac:dyDescent="0.3">
      <c r="A9">
        <v>8</v>
      </c>
      <c r="B9" s="7">
        <v>44957</v>
      </c>
      <c r="C9" s="5">
        <v>26</v>
      </c>
      <c r="D9" s="5">
        <v>36</v>
      </c>
      <c r="E9" s="5">
        <v>36</v>
      </c>
      <c r="F9" s="5">
        <v>7803</v>
      </c>
      <c r="G9" s="5">
        <v>158</v>
      </c>
      <c r="H9" t="str">
        <f t="shared" si="1"/>
        <v>Valid</v>
      </c>
      <c r="I9" t="str">
        <f t="shared" si="2"/>
        <v>Valid</v>
      </c>
      <c r="J9" s="5">
        <f t="shared" si="3"/>
        <v>7645</v>
      </c>
      <c r="K9" s="5">
        <f t="shared" si="4"/>
        <v>7839</v>
      </c>
      <c r="L9" s="5">
        <f>IF(Table1[[#This Row],[Total_System_Load]]&gt;80%*AVERAGE(Table1[Total_System_Load]),Table1[[#This Row],[Total_System_Load]]-Table1[[#This Row],[Total_Children_Under_Care]],0)</f>
        <v>194</v>
      </c>
      <c r="M9" s="5">
        <f t="shared" si="0"/>
        <v>-122</v>
      </c>
      <c r="N9" s="5">
        <f>M10-Table1[[#This Row],[Net_Daily_Intake]]</f>
        <v>-82</v>
      </c>
      <c r="O9" s="5">
        <f>M10-Table1[[#This Row],[Net_Daily_Intake]]/Table1[[#This Row],[Net_Daily_Intake]]</f>
        <v>-205</v>
      </c>
      <c r="P9" t="str">
        <f>IF(Table1[[#This Row],[Change_in_Net_Daily_Intake]]&gt;0,"Sustained Positive","Negative")</f>
        <v>Negative</v>
      </c>
      <c r="Q9" s="1">
        <f>(Table1[[#This Row],[Total_System_Load]]-Table1[[#This Row],[Total_Children_Under_Care]])/Table1[[#This Row],[Total_Children_Under_Care]]*100</f>
        <v>2.537606278613473</v>
      </c>
      <c r="R9" s="1">
        <f>(Table1[[#This Row],[Children_discharged _from_HHS_ Care]]/Table1[[#This Row],[Children_transferred_out_of_CBP_custody]])</f>
        <v>4.3888888888888893</v>
      </c>
    </row>
    <row r="10" spans="1:18" x14ac:dyDescent="0.3">
      <c r="A10">
        <v>9</v>
      </c>
      <c r="B10" s="7">
        <v>44958</v>
      </c>
      <c r="C10" s="5">
        <v>25</v>
      </c>
      <c r="D10" s="5">
        <v>32</v>
      </c>
      <c r="E10" s="5">
        <v>27</v>
      </c>
      <c r="F10" s="5">
        <v>7903</v>
      </c>
      <c r="G10" s="5">
        <v>231</v>
      </c>
      <c r="H10" t="str">
        <f t="shared" si="1"/>
        <v>Valid</v>
      </c>
      <c r="I10" t="str">
        <f t="shared" si="2"/>
        <v>Valid</v>
      </c>
      <c r="J10" s="5">
        <f t="shared" si="3"/>
        <v>7672</v>
      </c>
      <c r="K10" s="5">
        <f t="shared" si="4"/>
        <v>7935</v>
      </c>
      <c r="L10" s="5">
        <f>IF(Table1[[#This Row],[Total_System_Load]]&gt;80%*AVERAGE(Table1[Total_System_Load]),Table1[[#This Row],[Total_System_Load]]-Table1[[#This Row],[Total_Children_Under_Care]],0)</f>
        <v>263</v>
      </c>
      <c r="M10" s="5">
        <f t="shared" si="0"/>
        <v>-204</v>
      </c>
      <c r="N10" s="5">
        <f>M11-Table1[[#This Row],[Net_Daily_Intake]]</f>
        <v>-71</v>
      </c>
      <c r="O10" s="5">
        <f>M11-Table1[[#This Row],[Net_Daily_Intake]]/Table1[[#This Row],[Net_Daily_Intake]]</f>
        <v>-276</v>
      </c>
      <c r="P10" t="str">
        <f>IF(Table1[[#This Row],[Change_in_Net_Daily_Intake]]&gt;0,"Sustained Positive","Negative")</f>
        <v>Negative</v>
      </c>
      <c r="Q10" s="1">
        <f>(Table1[[#This Row],[Total_System_Load]]-Table1[[#This Row],[Total_Children_Under_Care]])/Table1[[#This Row],[Total_Children_Under_Care]]*100</f>
        <v>3.4280500521376434</v>
      </c>
      <c r="R10" s="1">
        <f>(Table1[[#This Row],[Children_discharged _from_HHS_ Care]]/Table1[[#This Row],[Children_transferred_out_of_CBP_custody]])</f>
        <v>8.5555555555555554</v>
      </c>
    </row>
    <row r="11" spans="1:18" x14ac:dyDescent="0.3">
      <c r="A11">
        <v>10</v>
      </c>
      <c r="B11" s="7">
        <v>44959</v>
      </c>
      <c r="C11" s="5">
        <v>15</v>
      </c>
      <c r="D11" s="5">
        <v>13</v>
      </c>
      <c r="E11" s="5">
        <v>23</v>
      </c>
      <c r="F11" s="5">
        <v>7879</v>
      </c>
      <c r="G11" s="5">
        <v>298</v>
      </c>
      <c r="H11" t="str">
        <f t="shared" si="1"/>
        <v>Invalid</v>
      </c>
      <c r="I11" t="str">
        <f t="shared" si="2"/>
        <v>Valid</v>
      </c>
      <c r="J11" s="5">
        <f t="shared" si="3"/>
        <v>7581</v>
      </c>
      <c r="K11" s="5">
        <f t="shared" si="4"/>
        <v>7892</v>
      </c>
      <c r="L11" s="5">
        <f>IF(Table1[[#This Row],[Total_System_Load]]&gt;80%*AVERAGE(Table1[Total_System_Load]),Table1[[#This Row],[Total_System_Load]]-Table1[[#This Row],[Total_Children_Under_Care]],0)</f>
        <v>311</v>
      </c>
      <c r="M11" s="5">
        <f t="shared" si="0"/>
        <v>-275</v>
      </c>
      <c r="N11" s="5">
        <f>M12-Table1[[#This Row],[Net_Daily_Intake]]</f>
        <v>-52</v>
      </c>
      <c r="O11" s="5">
        <f>M12-Table1[[#This Row],[Net_Daily_Intake]]/Table1[[#This Row],[Net_Daily_Intake]]</f>
        <v>-328</v>
      </c>
      <c r="P11" t="str">
        <f>IF(Table1[[#This Row],[Change_in_Net_Daily_Intake]]&gt;0,"Sustained Positive","Negative")</f>
        <v>Negative</v>
      </c>
      <c r="Q11" s="1">
        <f>(Table1[[#This Row],[Total_System_Load]]-Table1[[#This Row],[Total_Children_Under_Care]])/Table1[[#This Row],[Total_Children_Under_Care]]*100</f>
        <v>4.1023611660730781</v>
      </c>
      <c r="R11" s="1">
        <f>(Table1[[#This Row],[Children_discharged _from_HHS_ Care]]/Table1[[#This Row],[Children_transferred_out_of_CBP_custody]])</f>
        <v>12.956521739130435</v>
      </c>
    </row>
    <row r="12" spans="1:18" x14ac:dyDescent="0.3">
      <c r="A12">
        <v>11</v>
      </c>
      <c r="B12" s="7">
        <v>44962</v>
      </c>
      <c r="C12" s="5">
        <v>16</v>
      </c>
      <c r="D12" s="5">
        <v>18</v>
      </c>
      <c r="E12" s="5">
        <v>15</v>
      </c>
      <c r="F12" s="5">
        <v>7586</v>
      </c>
      <c r="G12" s="5">
        <v>342</v>
      </c>
      <c r="H12" t="str">
        <f t="shared" si="1"/>
        <v>Valid</v>
      </c>
      <c r="I12" t="str">
        <f t="shared" si="2"/>
        <v>Valid</v>
      </c>
      <c r="J12" s="5">
        <f t="shared" si="3"/>
        <v>7244</v>
      </c>
      <c r="K12" s="5">
        <f t="shared" si="4"/>
        <v>7604</v>
      </c>
      <c r="L12" s="5">
        <f>IF(Table1[[#This Row],[Total_System_Load]]&gt;80%*AVERAGE(Table1[Total_System_Load]),Table1[[#This Row],[Total_System_Load]]-Table1[[#This Row],[Total_Children_Under_Care]],0)</f>
        <v>360</v>
      </c>
      <c r="M12" s="5">
        <f t="shared" si="0"/>
        <v>-327</v>
      </c>
      <c r="N12" s="5">
        <f>M13-Table1[[#This Row],[Net_Daily_Intake]]</f>
        <v>143</v>
      </c>
      <c r="O12" s="5">
        <f>M13-Table1[[#This Row],[Net_Daily_Intake]]/Table1[[#This Row],[Net_Daily_Intake]]</f>
        <v>-185</v>
      </c>
      <c r="P12" t="str">
        <f>IF(Table1[[#This Row],[Change_in_Net_Daily_Intake]]&gt;0,"Sustained Positive","Negative")</f>
        <v>Sustained Positive</v>
      </c>
      <c r="Q12" s="1">
        <f>(Table1[[#This Row],[Total_System_Load]]-Table1[[#This Row],[Total_Children_Under_Care]])/Table1[[#This Row],[Total_Children_Under_Care]]*100</f>
        <v>4.9696300386526779</v>
      </c>
      <c r="R12" s="1">
        <f>(Table1[[#This Row],[Children_discharged _from_HHS_ Care]]/Table1[[#This Row],[Children_transferred_out_of_CBP_custody]])</f>
        <v>22.8</v>
      </c>
    </row>
    <row r="13" spans="1:18" x14ac:dyDescent="0.3">
      <c r="A13">
        <v>12</v>
      </c>
      <c r="B13" s="7">
        <v>44963</v>
      </c>
      <c r="C13" s="5">
        <v>11</v>
      </c>
      <c r="D13" s="5">
        <v>22</v>
      </c>
      <c r="E13" s="5">
        <v>12</v>
      </c>
      <c r="F13" s="5">
        <v>7720</v>
      </c>
      <c r="G13" s="5">
        <v>196</v>
      </c>
      <c r="H13" t="str">
        <f t="shared" si="1"/>
        <v>Valid</v>
      </c>
      <c r="I13" t="str">
        <f t="shared" si="2"/>
        <v>Valid</v>
      </c>
      <c r="J13" s="5">
        <f t="shared" si="3"/>
        <v>7524</v>
      </c>
      <c r="K13" s="5">
        <f t="shared" si="4"/>
        <v>7742</v>
      </c>
      <c r="L13" s="5">
        <f>IF(Table1[[#This Row],[Total_System_Load]]&gt;80%*AVERAGE(Table1[Total_System_Load]),Table1[[#This Row],[Total_System_Load]]-Table1[[#This Row],[Total_Children_Under_Care]],0)</f>
        <v>218</v>
      </c>
      <c r="M13" s="5">
        <f t="shared" si="0"/>
        <v>-184</v>
      </c>
      <c r="N13" s="5">
        <f>M14-Table1[[#This Row],[Net_Daily_Intake]]</f>
        <v>4</v>
      </c>
      <c r="O13" s="5">
        <f>M14-Table1[[#This Row],[Net_Daily_Intake]]/Table1[[#This Row],[Net_Daily_Intake]]</f>
        <v>-181</v>
      </c>
      <c r="P13" t="str">
        <f>IF(Table1[[#This Row],[Change_in_Net_Daily_Intake]]&gt;0,"Sustained Positive","Negative")</f>
        <v>Sustained Positive</v>
      </c>
      <c r="Q13" s="1">
        <f>(Table1[[#This Row],[Total_System_Load]]-Table1[[#This Row],[Total_Children_Under_Care]])/Table1[[#This Row],[Total_Children_Under_Care]]*100</f>
        <v>2.8973950026581607</v>
      </c>
      <c r="R13" s="1">
        <f>(Table1[[#This Row],[Children_discharged _from_HHS_ Care]]/Table1[[#This Row],[Children_transferred_out_of_CBP_custody]])</f>
        <v>16.333333333333332</v>
      </c>
    </row>
    <row r="14" spans="1:18" x14ac:dyDescent="0.3">
      <c r="A14">
        <v>13</v>
      </c>
      <c r="B14" s="7">
        <v>44964</v>
      </c>
      <c r="C14" s="5">
        <v>16</v>
      </c>
      <c r="D14" s="5">
        <v>20</v>
      </c>
      <c r="E14" s="5">
        <v>20</v>
      </c>
      <c r="F14" s="5">
        <v>7855</v>
      </c>
      <c r="G14" s="5">
        <v>200</v>
      </c>
      <c r="H14" t="str">
        <f t="shared" si="1"/>
        <v>Valid</v>
      </c>
      <c r="I14" t="str">
        <f t="shared" si="2"/>
        <v>Valid</v>
      </c>
      <c r="J14" s="5">
        <f t="shared" si="3"/>
        <v>7655</v>
      </c>
      <c r="K14" s="5">
        <f t="shared" si="4"/>
        <v>7875</v>
      </c>
      <c r="L14" s="5">
        <f>IF(Table1[[#This Row],[Total_System_Load]]&gt;80%*AVERAGE(Table1[Total_System_Load]),Table1[[#This Row],[Total_System_Load]]-Table1[[#This Row],[Total_Children_Under_Care]],0)</f>
        <v>220</v>
      </c>
      <c r="M14" s="5">
        <f t="shared" si="0"/>
        <v>-180</v>
      </c>
      <c r="N14" s="5">
        <f>M15-Table1[[#This Row],[Net_Daily_Intake]]</f>
        <v>32</v>
      </c>
      <c r="O14" s="5">
        <f>M15-Table1[[#This Row],[Net_Daily_Intake]]/Table1[[#This Row],[Net_Daily_Intake]]</f>
        <v>-149</v>
      </c>
      <c r="P14" t="str">
        <f>IF(Table1[[#This Row],[Change_in_Net_Daily_Intake]]&gt;0,"Sustained Positive","Negative")</f>
        <v>Sustained Positive</v>
      </c>
      <c r="Q14" s="1">
        <f>(Table1[[#This Row],[Total_System_Load]]-Table1[[#This Row],[Total_Children_Under_Care]])/Table1[[#This Row],[Total_Children_Under_Care]]*100</f>
        <v>2.8739386022207705</v>
      </c>
      <c r="R14" s="1">
        <f>(Table1[[#This Row],[Children_discharged _from_HHS_ Care]]/Table1[[#This Row],[Children_transferred_out_of_CBP_custody]])</f>
        <v>10</v>
      </c>
    </row>
    <row r="15" spans="1:18" x14ac:dyDescent="0.3">
      <c r="A15">
        <v>14</v>
      </c>
      <c r="B15" s="7">
        <v>44965</v>
      </c>
      <c r="C15" s="5">
        <v>93</v>
      </c>
      <c r="D15" s="5">
        <v>196</v>
      </c>
      <c r="E15" s="5">
        <v>169</v>
      </c>
      <c r="F15" s="5">
        <v>7915</v>
      </c>
      <c r="G15" s="5">
        <v>317</v>
      </c>
      <c r="H15" t="str">
        <f t="shared" si="1"/>
        <v>Valid</v>
      </c>
      <c r="I15" t="str">
        <f t="shared" si="2"/>
        <v>Valid</v>
      </c>
      <c r="J15" s="5">
        <f t="shared" si="3"/>
        <v>7598</v>
      </c>
      <c r="K15" s="5">
        <f t="shared" si="4"/>
        <v>8111</v>
      </c>
      <c r="L15" s="5">
        <f>IF(Table1[[#This Row],[Total_System_Load]]&gt;80%*AVERAGE(Table1[Total_System_Load]),Table1[[#This Row],[Total_System_Load]]-Table1[[#This Row],[Total_Children_Under_Care]],0)</f>
        <v>513</v>
      </c>
      <c r="M15" s="5">
        <f t="shared" si="0"/>
        <v>-148</v>
      </c>
      <c r="N15" s="5">
        <f>M16-Table1[[#This Row],[Net_Daily_Intake]]</f>
        <v>-44</v>
      </c>
      <c r="O15" s="5">
        <f>M16-Table1[[#This Row],[Net_Daily_Intake]]/Table1[[#This Row],[Net_Daily_Intake]]</f>
        <v>-193</v>
      </c>
      <c r="P15" t="str">
        <f>IF(Table1[[#This Row],[Change_in_Net_Daily_Intake]]&gt;0,"Sustained Positive","Negative")</f>
        <v>Negative</v>
      </c>
      <c r="Q15" s="1">
        <f>(Table1[[#This Row],[Total_System_Load]]-Table1[[#This Row],[Total_Children_Under_Care]])/Table1[[#This Row],[Total_Children_Under_Care]]*100</f>
        <v>6.7517767833640425</v>
      </c>
      <c r="R15" s="1">
        <f>(Table1[[#This Row],[Children_discharged _from_HHS_ Care]]/Table1[[#This Row],[Children_transferred_out_of_CBP_custody]])</f>
        <v>1.8757396449704142</v>
      </c>
    </row>
    <row r="16" spans="1:18" x14ac:dyDescent="0.3">
      <c r="A16">
        <v>15</v>
      </c>
      <c r="B16" s="7">
        <v>44966</v>
      </c>
      <c r="C16" s="5">
        <v>124</v>
      </c>
      <c r="D16" s="5">
        <v>234</v>
      </c>
      <c r="E16" s="5">
        <v>161</v>
      </c>
      <c r="F16" s="5">
        <v>7908</v>
      </c>
      <c r="G16" s="5">
        <v>353</v>
      </c>
      <c r="H16" t="str">
        <f t="shared" si="1"/>
        <v>Valid</v>
      </c>
      <c r="I16" t="str">
        <f t="shared" si="2"/>
        <v>Valid</v>
      </c>
      <c r="J16" s="5">
        <f t="shared" si="3"/>
        <v>7555</v>
      </c>
      <c r="K16" s="5">
        <f t="shared" si="4"/>
        <v>8142</v>
      </c>
      <c r="L16" s="5">
        <f>IF(Table1[[#This Row],[Total_System_Load]]&gt;80%*AVERAGE(Table1[Total_System_Load]),Table1[[#This Row],[Total_System_Load]]-Table1[[#This Row],[Total_Children_Under_Care]],0)</f>
        <v>587</v>
      </c>
      <c r="M16" s="5">
        <f t="shared" si="0"/>
        <v>-192</v>
      </c>
      <c r="N16" s="5">
        <f>M17-Table1[[#This Row],[Net_Daily_Intake]]</f>
        <v>48</v>
      </c>
      <c r="O16" s="5">
        <f>M17-Table1[[#This Row],[Net_Daily_Intake]]/Table1[[#This Row],[Net_Daily_Intake]]</f>
        <v>-145</v>
      </c>
      <c r="P16" t="str">
        <f>IF(Table1[[#This Row],[Change_in_Net_Daily_Intake]]&gt;0,"Sustained Positive","Negative")</f>
        <v>Sustained Positive</v>
      </c>
      <c r="Q16" s="1">
        <f>(Table1[[#This Row],[Total_System_Load]]-Table1[[#This Row],[Total_Children_Under_Care]])/Table1[[#This Row],[Total_Children_Under_Care]]*100</f>
        <v>7.7696889477167437</v>
      </c>
      <c r="R16" s="1">
        <f>(Table1[[#This Row],[Children_discharged _from_HHS_ Care]]/Table1[[#This Row],[Children_transferred_out_of_CBP_custody]])</f>
        <v>2.1925465838509317</v>
      </c>
    </row>
    <row r="17" spans="1:18" x14ac:dyDescent="0.3">
      <c r="A17">
        <v>16</v>
      </c>
      <c r="B17" s="7">
        <v>44969</v>
      </c>
      <c r="C17" s="5">
        <v>92</v>
      </c>
      <c r="D17" s="5">
        <v>203</v>
      </c>
      <c r="E17" s="5">
        <v>173</v>
      </c>
      <c r="F17" s="5">
        <v>7434</v>
      </c>
      <c r="G17" s="5">
        <v>317</v>
      </c>
      <c r="H17" t="str">
        <f t="shared" si="1"/>
        <v>Valid</v>
      </c>
      <c r="I17" t="str">
        <f t="shared" si="2"/>
        <v>Valid</v>
      </c>
      <c r="J17" s="5">
        <f t="shared" si="3"/>
        <v>7117</v>
      </c>
      <c r="K17" s="5">
        <f t="shared" si="4"/>
        <v>7637</v>
      </c>
      <c r="L17" s="5">
        <f>IF(Table1[[#This Row],[Total_System_Load]]&gt;80%*AVERAGE(Table1[Total_System_Load]),Table1[[#This Row],[Total_System_Load]]-Table1[[#This Row],[Total_Children_Under_Care]],0)</f>
        <v>520</v>
      </c>
      <c r="M17" s="5">
        <f t="shared" si="0"/>
        <v>-144</v>
      </c>
      <c r="N17" s="5">
        <f>M18-Table1[[#This Row],[Net_Daily_Intake]]</f>
        <v>72</v>
      </c>
      <c r="O17" s="5">
        <f>M18-Table1[[#This Row],[Net_Daily_Intake]]/Table1[[#This Row],[Net_Daily_Intake]]</f>
        <v>-73</v>
      </c>
      <c r="P17" t="str">
        <f>IF(Table1[[#This Row],[Change_in_Net_Daily_Intake]]&gt;0,"Sustained Positive","Negative")</f>
        <v>Sustained Positive</v>
      </c>
      <c r="Q17" s="1">
        <f>(Table1[[#This Row],[Total_System_Load]]-Table1[[#This Row],[Total_Children_Under_Care]])/Table1[[#This Row],[Total_Children_Under_Care]]*100</f>
        <v>7.3064493466348175</v>
      </c>
      <c r="R17" s="1">
        <f>(Table1[[#This Row],[Children_discharged _from_HHS_ Care]]/Table1[[#This Row],[Children_transferred_out_of_CBP_custody]])</f>
        <v>1.8323699421965318</v>
      </c>
    </row>
    <row r="18" spans="1:18" x14ac:dyDescent="0.3">
      <c r="A18">
        <v>17</v>
      </c>
      <c r="B18" s="7">
        <v>44970</v>
      </c>
      <c r="C18" s="5">
        <v>186</v>
      </c>
      <c r="D18" s="5">
        <v>259</v>
      </c>
      <c r="E18" s="5">
        <v>172</v>
      </c>
      <c r="F18" s="5">
        <v>7483</v>
      </c>
      <c r="G18" s="5">
        <v>244</v>
      </c>
      <c r="H18" t="str">
        <f t="shared" si="1"/>
        <v>Valid</v>
      </c>
      <c r="I18" t="str">
        <f t="shared" si="2"/>
        <v>Valid</v>
      </c>
      <c r="J18" s="5">
        <f t="shared" si="3"/>
        <v>7239</v>
      </c>
      <c r="K18" s="5">
        <f t="shared" si="4"/>
        <v>7742</v>
      </c>
      <c r="L18" s="5">
        <f>IF(Table1[[#This Row],[Total_System_Load]]&gt;80%*AVERAGE(Table1[Total_System_Load]),Table1[[#This Row],[Total_System_Load]]-Table1[[#This Row],[Total_Children_Under_Care]],0)</f>
        <v>503</v>
      </c>
      <c r="M18" s="5">
        <f t="shared" si="0"/>
        <v>-72</v>
      </c>
      <c r="N18" s="5">
        <f>M19-Table1[[#This Row],[Net_Daily_Intake]]</f>
        <v>69</v>
      </c>
      <c r="O18" s="5">
        <f>M19-Table1[[#This Row],[Net_Daily_Intake]]/Table1[[#This Row],[Net_Daily_Intake]]</f>
        <v>-4</v>
      </c>
      <c r="P18" t="str">
        <f>IF(Table1[[#This Row],[Change_in_Net_Daily_Intake]]&gt;0,"Sustained Positive","Negative")</f>
        <v>Sustained Positive</v>
      </c>
      <c r="Q18" s="1">
        <f>(Table1[[#This Row],[Total_System_Load]]-Table1[[#This Row],[Total_Children_Under_Care]])/Table1[[#This Row],[Total_Children_Under_Care]]*100</f>
        <v>6.9484735460698985</v>
      </c>
      <c r="R18" s="1">
        <f>(Table1[[#This Row],[Children_discharged _from_HHS_ Care]]/Table1[[#This Row],[Children_transferred_out_of_CBP_custody]])</f>
        <v>1.4186046511627908</v>
      </c>
    </row>
    <row r="19" spans="1:18" x14ac:dyDescent="0.3">
      <c r="A19">
        <v>18</v>
      </c>
      <c r="B19" s="7">
        <v>44971</v>
      </c>
      <c r="C19" s="5">
        <v>154</v>
      </c>
      <c r="D19" s="5">
        <v>225</v>
      </c>
      <c r="E19" s="5">
        <v>220</v>
      </c>
      <c r="F19" s="5">
        <v>7794</v>
      </c>
      <c r="G19" s="5">
        <v>223</v>
      </c>
      <c r="H19" t="str">
        <f t="shared" si="1"/>
        <v>Valid</v>
      </c>
      <c r="I19" t="str">
        <f t="shared" si="2"/>
        <v>Valid</v>
      </c>
      <c r="J19" s="5">
        <f t="shared" si="3"/>
        <v>7571</v>
      </c>
      <c r="K19" s="5">
        <f t="shared" si="4"/>
        <v>8019</v>
      </c>
      <c r="L19" s="5">
        <f>IF(Table1[[#This Row],[Total_System_Load]]&gt;80%*AVERAGE(Table1[Total_System_Load]),Table1[[#This Row],[Total_System_Load]]-Table1[[#This Row],[Total_Children_Under_Care]],0)</f>
        <v>448</v>
      </c>
      <c r="M19" s="5">
        <f t="shared" si="0"/>
        <v>-3</v>
      </c>
      <c r="N19" s="5">
        <f>M20-Table1[[#This Row],[Net_Daily_Intake]]</f>
        <v>-115</v>
      </c>
      <c r="O19" s="5">
        <f>M20-Table1[[#This Row],[Net_Daily_Intake]]/Table1[[#This Row],[Net_Daily_Intake]]</f>
        <v>-119</v>
      </c>
      <c r="P19" t="str">
        <f>IF(Table1[[#This Row],[Change_in_Net_Daily_Intake]]&gt;0,"Sustained Positive","Negative")</f>
        <v>Negative</v>
      </c>
      <c r="Q19" s="1">
        <f>(Table1[[#This Row],[Total_System_Load]]-Table1[[#This Row],[Total_Children_Under_Care]])/Table1[[#This Row],[Total_Children_Under_Care]]*100</f>
        <v>5.9173160744947833</v>
      </c>
      <c r="R19" s="1">
        <f>(Table1[[#This Row],[Children_discharged _from_HHS_ Care]]/Table1[[#This Row],[Children_transferred_out_of_CBP_custody]])</f>
        <v>1.0136363636363637</v>
      </c>
    </row>
    <row r="20" spans="1:18" x14ac:dyDescent="0.3">
      <c r="A20">
        <v>19</v>
      </c>
      <c r="B20" s="7">
        <v>44972</v>
      </c>
      <c r="C20" s="5">
        <v>91</v>
      </c>
      <c r="D20" s="5">
        <v>199</v>
      </c>
      <c r="E20" s="5">
        <v>172</v>
      </c>
      <c r="F20" s="5">
        <v>7869</v>
      </c>
      <c r="G20" s="5">
        <v>290</v>
      </c>
      <c r="H20" t="str">
        <f t="shared" si="1"/>
        <v>Valid</v>
      </c>
      <c r="I20" t="str">
        <f t="shared" si="2"/>
        <v>Valid</v>
      </c>
      <c r="J20" s="5">
        <f t="shared" si="3"/>
        <v>7579</v>
      </c>
      <c r="K20" s="5">
        <f t="shared" si="4"/>
        <v>8068</v>
      </c>
      <c r="L20" s="5">
        <f>IF(Table1[[#This Row],[Total_System_Load]]&gt;80%*AVERAGE(Table1[Total_System_Load]),Table1[[#This Row],[Total_System_Load]]-Table1[[#This Row],[Total_Children_Under_Care]],0)</f>
        <v>489</v>
      </c>
      <c r="M20" s="5">
        <f t="shared" si="0"/>
        <v>-118</v>
      </c>
      <c r="N20" s="5">
        <f>M21-Table1[[#This Row],[Net_Daily_Intake]]</f>
        <v>-90</v>
      </c>
      <c r="O20" s="5">
        <f>M21-Table1[[#This Row],[Net_Daily_Intake]]/Table1[[#This Row],[Net_Daily_Intake]]</f>
        <v>-209</v>
      </c>
      <c r="P20" t="str">
        <f>IF(Table1[[#This Row],[Change_in_Net_Daily_Intake]]&gt;0,"Sustained Positive","Negative")</f>
        <v>Negative</v>
      </c>
      <c r="Q20" s="1">
        <f>(Table1[[#This Row],[Total_System_Load]]-Table1[[#This Row],[Total_Children_Under_Care]])/Table1[[#This Row],[Total_Children_Under_Care]]*100</f>
        <v>6.4520385275102257</v>
      </c>
      <c r="R20" s="1">
        <f>(Table1[[#This Row],[Children_discharged _from_HHS_ Care]]/Table1[[#This Row],[Children_transferred_out_of_CBP_custody]])</f>
        <v>1.6860465116279071</v>
      </c>
    </row>
    <row r="21" spans="1:18" x14ac:dyDescent="0.3">
      <c r="A21">
        <v>20</v>
      </c>
      <c r="B21" s="7">
        <v>44973</v>
      </c>
      <c r="C21" s="5">
        <v>81</v>
      </c>
      <c r="D21" s="5">
        <v>213</v>
      </c>
      <c r="E21" s="5">
        <v>153</v>
      </c>
      <c r="F21" s="5">
        <v>7793</v>
      </c>
      <c r="G21" s="5">
        <v>361</v>
      </c>
      <c r="H21" t="str">
        <f t="shared" si="1"/>
        <v>Valid</v>
      </c>
      <c r="I21" t="str">
        <f t="shared" si="2"/>
        <v>Valid</v>
      </c>
      <c r="J21" s="5">
        <f t="shared" si="3"/>
        <v>7432</v>
      </c>
      <c r="K21" s="5">
        <f t="shared" si="4"/>
        <v>8006</v>
      </c>
      <c r="L21" s="5">
        <f>IF(Table1[[#This Row],[Total_System_Load]]&gt;80%*AVERAGE(Table1[Total_System_Load]),Table1[[#This Row],[Total_System_Load]]-Table1[[#This Row],[Total_Children_Under_Care]],0)</f>
        <v>574</v>
      </c>
      <c r="M21" s="5">
        <f t="shared" si="0"/>
        <v>-208</v>
      </c>
      <c r="N21" s="5">
        <f>M22-Table1[[#This Row],[Net_Daily_Intake]]</f>
        <v>183</v>
      </c>
      <c r="O21" s="5">
        <f>M22-Table1[[#This Row],[Net_Daily_Intake]]/Table1[[#This Row],[Net_Daily_Intake]]</f>
        <v>-26</v>
      </c>
      <c r="P21" t="str">
        <f>IF(Table1[[#This Row],[Change_in_Net_Daily_Intake]]&gt;0,"Sustained Positive","Negative")</f>
        <v>Sustained Positive</v>
      </c>
      <c r="Q21" s="1">
        <f>(Table1[[#This Row],[Total_System_Load]]-Table1[[#This Row],[Total_Children_Under_Care]])/Table1[[#This Row],[Total_Children_Under_Care]]*100</f>
        <v>7.7233584499461783</v>
      </c>
      <c r="R21" s="1">
        <f>(Table1[[#This Row],[Children_discharged _from_HHS_ Care]]/Table1[[#This Row],[Children_transferred_out_of_CBP_custody]])</f>
        <v>2.3594771241830066</v>
      </c>
    </row>
    <row r="22" spans="1:18" x14ac:dyDescent="0.3">
      <c r="A22">
        <v>21</v>
      </c>
      <c r="B22" s="7">
        <v>44977</v>
      </c>
      <c r="C22" s="5">
        <v>209</v>
      </c>
      <c r="D22" s="5">
        <v>285</v>
      </c>
      <c r="E22" s="5">
        <v>184</v>
      </c>
      <c r="F22" s="5">
        <v>7817</v>
      </c>
      <c r="G22" s="5">
        <v>209</v>
      </c>
      <c r="H22" t="str">
        <f t="shared" si="1"/>
        <v>Valid</v>
      </c>
      <c r="I22" t="str">
        <f t="shared" si="2"/>
        <v>Valid</v>
      </c>
      <c r="J22" s="5">
        <f t="shared" si="3"/>
        <v>7608</v>
      </c>
      <c r="K22" s="5">
        <f t="shared" si="4"/>
        <v>8102</v>
      </c>
      <c r="L22" s="5">
        <f>IF(Table1[[#This Row],[Total_System_Load]]&gt;80%*AVERAGE(Table1[Total_System_Load]),Table1[[#This Row],[Total_System_Load]]-Table1[[#This Row],[Total_Children_Under_Care]],0)</f>
        <v>494</v>
      </c>
      <c r="M22" s="5">
        <f t="shared" si="0"/>
        <v>-25</v>
      </c>
      <c r="N22" s="5">
        <f>M23-Table1[[#This Row],[Net_Daily_Intake]]</f>
        <v>29</v>
      </c>
      <c r="O22" s="5">
        <f>M23-Table1[[#This Row],[Net_Daily_Intake]]/Table1[[#This Row],[Net_Daily_Intake]]</f>
        <v>3</v>
      </c>
      <c r="P22" t="str">
        <f>IF(Table1[[#This Row],[Change_in_Net_Daily_Intake]]&gt;0,"Sustained Positive","Negative")</f>
        <v>Sustained Positive</v>
      </c>
      <c r="Q22" s="1">
        <f>(Table1[[#This Row],[Total_System_Load]]-Table1[[#This Row],[Total_Children_Under_Care]])/Table1[[#This Row],[Total_Children_Under_Care]]*100</f>
        <v>6.4931650893796</v>
      </c>
      <c r="R22" s="1">
        <f>(Table1[[#This Row],[Children_discharged _from_HHS_ Care]]/Table1[[#This Row],[Children_transferred_out_of_CBP_custody]])</f>
        <v>1.1358695652173914</v>
      </c>
    </row>
    <row r="23" spans="1:18" x14ac:dyDescent="0.3">
      <c r="A23">
        <v>22</v>
      </c>
      <c r="B23" s="7">
        <v>44978</v>
      </c>
      <c r="C23" s="5">
        <v>184</v>
      </c>
      <c r="D23" s="5">
        <v>314</v>
      </c>
      <c r="E23" s="5">
        <v>217</v>
      </c>
      <c r="F23" s="5">
        <v>7967</v>
      </c>
      <c r="G23" s="5">
        <v>213</v>
      </c>
      <c r="H23" t="str">
        <f t="shared" si="1"/>
        <v>Valid</v>
      </c>
      <c r="I23" t="str">
        <f t="shared" si="2"/>
        <v>Valid</v>
      </c>
      <c r="J23" s="5">
        <f t="shared" si="3"/>
        <v>7754</v>
      </c>
      <c r="K23" s="5">
        <f t="shared" si="4"/>
        <v>8281</v>
      </c>
      <c r="L23" s="5">
        <f>IF(Table1[[#This Row],[Total_System_Load]]&gt;80%*AVERAGE(Table1[Total_System_Load]),Table1[[#This Row],[Total_System_Load]]-Table1[[#This Row],[Total_Children_Under_Care]],0)</f>
        <v>527</v>
      </c>
      <c r="M23" s="5">
        <f t="shared" si="0"/>
        <v>4</v>
      </c>
      <c r="N23" s="5">
        <f>M24-Table1[[#This Row],[Net_Daily_Intake]]</f>
        <v>-6</v>
      </c>
      <c r="O23" s="5">
        <f>M24-Table1[[#This Row],[Net_Daily_Intake]]/Table1[[#This Row],[Net_Daily_Intake]]</f>
        <v>-3</v>
      </c>
      <c r="P23" t="str">
        <f>IF(Table1[[#This Row],[Change_in_Net_Daily_Intake]]&gt;0,"Sustained Positive","Negative")</f>
        <v>Negative</v>
      </c>
      <c r="Q23" s="1">
        <f>(Table1[[#This Row],[Total_System_Load]]-Table1[[#This Row],[Total_Children_Under_Care]])/Table1[[#This Row],[Total_Children_Under_Care]]*100</f>
        <v>6.796492133092598</v>
      </c>
      <c r="R23" s="1">
        <f>(Table1[[#This Row],[Children_discharged _from_HHS_ Care]]/Table1[[#This Row],[Children_transferred_out_of_CBP_custody]])</f>
        <v>0.98156682027649766</v>
      </c>
    </row>
    <row r="24" spans="1:18" x14ac:dyDescent="0.3">
      <c r="A24">
        <v>23</v>
      </c>
      <c r="B24" s="7">
        <v>44979</v>
      </c>
      <c r="C24" s="5">
        <v>107</v>
      </c>
      <c r="D24" s="5">
        <v>215</v>
      </c>
      <c r="E24" s="5">
        <v>230</v>
      </c>
      <c r="F24" s="5">
        <v>7978</v>
      </c>
      <c r="G24" s="5">
        <v>232</v>
      </c>
      <c r="H24" t="str">
        <f t="shared" si="1"/>
        <v>Invalid</v>
      </c>
      <c r="I24" t="str">
        <f t="shared" si="2"/>
        <v>Valid</v>
      </c>
      <c r="J24" s="5">
        <f t="shared" si="3"/>
        <v>7746</v>
      </c>
      <c r="K24" s="5">
        <f t="shared" si="4"/>
        <v>8193</v>
      </c>
      <c r="L24" s="5">
        <f>IF(Table1[[#This Row],[Total_System_Load]]&gt;80%*AVERAGE(Table1[Total_System_Load]),Table1[[#This Row],[Total_System_Load]]-Table1[[#This Row],[Total_Children_Under_Care]],0)</f>
        <v>447</v>
      </c>
      <c r="M24" s="5">
        <f t="shared" si="0"/>
        <v>-2</v>
      </c>
      <c r="N24" s="5">
        <f>M25-Table1[[#This Row],[Net_Daily_Intake]]</f>
        <v>-206</v>
      </c>
      <c r="O24" s="5">
        <f>M25-Table1[[#This Row],[Net_Daily_Intake]]/Table1[[#This Row],[Net_Daily_Intake]]</f>
        <v>-209</v>
      </c>
      <c r="P24" t="str">
        <f>IF(Table1[[#This Row],[Change_in_Net_Daily_Intake]]&gt;0,"Sustained Positive","Negative")</f>
        <v>Negative</v>
      </c>
      <c r="Q24" s="1">
        <f>(Table1[[#This Row],[Total_System_Load]]-Table1[[#This Row],[Total_Children_Under_Care]])/Table1[[#This Row],[Total_Children_Under_Care]]*100</f>
        <v>5.7707203718048019</v>
      </c>
      <c r="R24" s="1">
        <f>(Table1[[#This Row],[Children_discharged _from_HHS_ Care]]/Table1[[#This Row],[Children_transferred_out_of_CBP_custody]])</f>
        <v>1.008695652173913</v>
      </c>
    </row>
    <row r="25" spans="1:18" x14ac:dyDescent="0.3">
      <c r="A25">
        <v>24</v>
      </c>
      <c r="B25" s="7">
        <v>44980</v>
      </c>
      <c r="C25" s="5">
        <v>101</v>
      </c>
      <c r="D25" s="5">
        <v>162</v>
      </c>
      <c r="E25" s="5">
        <v>178</v>
      </c>
      <c r="F25" s="5">
        <v>7914</v>
      </c>
      <c r="G25" s="5">
        <v>386</v>
      </c>
      <c r="H25" t="str">
        <f t="shared" si="1"/>
        <v>Invalid</v>
      </c>
      <c r="I25" t="str">
        <f t="shared" si="2"/>
        <v>Valid</v>
      </c>
      <c r="J25" s="5">
        <f t="shared" si="3"/>
        <v>7528</v>
      </c>
      <c r="K25" s="5">
        <f t="shared" si="4"/>
        <v>8076</v>
      </c>
      <c r="L25" s="5">
        <f>IF(Table1[[#This Row],[Total_System_Load]]&gt;80%*AVERAGE(Table1[Total_System_Load]),Table1[[#This Row],[Total_System_Load]]-Table1[[#This Row],[Total_Children_Under_Care]],0)</f>
        <v>548</v>
      </c>
      <c r="M25" s="5">
        <f t="shared" si="0"/>
        <v>-208</v>
      </c>
      <c r="N25" s="5">
        <f>M26-Table1[[#This Row],[Net_Daily_Intake]]</f>
        <v>61</v>
      </c>
      <c r="O25" s="5">
        <f>M26-Table1[[#This Row],[Net_Daily_Intake]]/Table1[[#This Row],[Net_Daily_Intake]]</f>
        <v>-148</v>
      </c>
      <c r="P25" t="str">
        <f>IF(Table1[[#This Row],[Change_in_Net_Daily_Intake]]&gt;0,"Sustained Positive","Negative")</f>
        <v>Sustained Positive</v>
      </c>
      <c r="Q25" s="1">
        <f>(Table1[[#This Row],[Total_System_Load]]-Table1[[#This Row],[Total_Children_Under_Care]])/Table1[[#This Row],[Total_Children_Under_Care]]*100</f>
        <v>7.2794899043570673</v>
      </c>
      <c r="R25" s="1">
        <f>(Table1[[#This Row],[Children_discharged _from_HHS_ Care]]/Table1[[#This Row],[Children_transferred_out_of_CBP_custody]])</f>
        <v>2.1685393258426968</v>
      </c>
    </row>
    <row r="26" spans="1:18" x14ac:dyDescent="0.3">
      <c r="A26">
        <v>25</v>
      </c>
      <c r="B26" s="7">
        <v>44983</v>
      </c>
      <c r="C26" s="5">
        <v>99</v>
      </c>
      <c r="D26" s="5">
        <v>190</v>
      </c>
      <c r="E26" s="5">
        <v>176</v>
      </c>
      <c r="F26" s="5">
        <v>7609</v>
      </c>
      <c r="G26" s="5">
        <v>323</v>
      </c>
      <c r="H26" t="str">
        <f t="shared" si="1"/>
        <v>Valid</v>
      </c>
      <c r="I26" t="str">
        <f t="shared" si="2"/>
        <v>Valid</v>
      </c>
      <c r="J26" s="5">
        <f t="shared" si="3"/>
        <v>7286</v>
      </c>
      <c r="K26" s="5">
        <f t="shared" si="4"/>
        <v>7799</v>
      </c>
      <c r="L26" s="5">
        <f>IF(Table1[[#This Row],[Total_System_Load]]&gt;80%*AVERAGE(Table1[Total_System_Load]),Table1[[#This Row],[Total_System_Load]]-Table1[[#This Row],[Total_Children_Under_Care]],0)</f>
        <v>513</v>
      </c>
      <c r="M26" s="5">
        <f t="shared" si="0"/>
        <v>-147</v>
      </c>
      <c r="N26" s="5">
        <f>M27-Table1[[#This Row],[Net_Daily_Intake]]</f>
        <v>65</v>
      </c>
      <c r="O26" s="5">
        <f>M27-Table1[[#This Row],[Net_Daily_Intake]]/Table1[[#This Row],[Net_Daily_Intake]]</f>
        <v>-83</v>
      </c>
      <c r="P26" t="str">
        <f>IF(Table1[[#This Row],[Change_in_Net_Daily_Intake]]&gt;0,"Sustained Positive","Negative")</f>
        <v>Sustained Positive</v>
      </c>
      <c r="Q26" s="1">
        <f>(Table1[[#This Row],[Total_System_Load]]-Table1[[#This Row],[Total_Children_Under_Care]])/Table1[[#This Row],[Total_Children_Under_Care]]*100</f>
        <v>7.0409003568487503</v>
      </c>
      <c r="R26" s="1">
        <f>(Table1[[#This Row],[Children_discharged _from_HHS_ Care]]/Table1[[#This Row],[Children_transferred_out_of_CBP_custody]])</f>
        <v>1.8352272727272727</v>
      </c>
    </row>
    <row r="27" spans="1:18" x14ac:dyDescent="0.3">
      <c r="A27">
        <v>26</v>
      </c>
      <c r="B27" s="7">
        <v>44984</v>
      </c>
      <c r="C27" s="5">
        <v>167</v>
      </c>
      <c r="D27" s="5">
        <v>239</v>
      </c>
      <c r="E27" s="5">
        <v>166</v>
      </c>
      <c r="F27" s="5">
        <v>7800</v>
      </c>
      <c r="G27" s="5">
        <v>248</v>
      </c>
      <c r="H27" t="str">
        <f t="shared" si="1"/>
        <v>Valid</v>
      </c>
      <c r="I27" t="str">
        <f t="shared" si="2"/>
        <v>Valid</v>
      </c>
      <c r="J27" s="5">
        <f t="shared" si="3"/>
        <v>7552</v>
      </c>
      <c r="K27" s="5">
        <f t="shared" si="4"/>
        <v>8039</v>
      </c>
      <c r="L27" s="5">
        <f>IF(Table1[[#This Row],[Total_System_Load]]&gt;80%*AVERAGE(Table1[Total_System_Load]),Table1[[#This Row],[Total_System_Load]]-Table1[[#This Row],[Total_Children_Under_Care]],0)</f>
        <v>487</v>
      </c>
      <c r="M27" s="5">
        <f t="shared" si="0"/>
        <v>-82</v>
      </c>
      <c r="N27" s="5">
        <f>M28-Table1[[#This Row],[Net_Daily_Intake]]</f>
        <v>51</v>
      </c>
      <c r="O27" s="5">
        <f>M28-Table1[[#This Row],[Net_Daily_Intake]]/Table1[[#This Row],[Net_Daily_Intake]]</f>
        <v>-32</v>
      </c>
      <c r="P27" t="str">
        <f>IF(Table1[[#This Row],[Change_in_Net_Daily_Intake]]&gt;0,"Sustained Positive","Negative")</f>
        <v>Sustained Positive</v>
      </c>
      <c r="Q27" s="1">
        <f>(Table1[[#This Row],[Total_System_Load]]-Table1[[#This Row],[Total_Children_Under_Care]])/Table1[[#This Row],[Total_Children_Under_Care]]*100</f>
        <v>6.4486228813559325</v>
      </c>
      <c r="R27" s="1">
        <f>(Table1[[#This Row],[Children_discharged _from_HHS_ Care]]/Table1[[#This Row],[Children_transferred_out_of_CBP_custody]])</f>
        <v>1.4939759036144578</v>
      </c>
    </row>
    <row r="28" spans="1:18" x14ac:dyDescent="0.3">
      <c r="A28">
        <v>27</v>
      </c>
      <c r="B28" s="7">
        <v>44985</v>
      </c>
      <c r="C28" s="5">
        <v>115</v>
      </c>
      <c r="D28" s="5">
        <v>216</v>
      </c>
      <c r="E28" s="5">
        <v>169</v>
      </c>
      <c r="F28" s="5">
        <v>7896</v>
      </c>
      <c r="G28" s="5">
        <v>200</v>
      </c>
      <c r="H28" t="str">
        <f t="shared" si="1"/>
        <v>Valid</v>
      </c>
      <c r="I28" t="str">
        <f t="shared" si="2"/>
        <v>Valid</v>
      </c>
      <c r="J28" s="5">
        <f t="shared" si="3"/>
        <v>7696</v>
      </c>
      <c r="K28" s="5">
        <f t="shared" si="4"/>
        <v>8112</v>
      </c>
      <c r="L28" s="5">
        <f>IF(Table1[[#This Row],[Total_System_Load]]&gt;80%*AVERAGE(Table1[Total_System_Load]),Table1[[#This Row],[Total_System_Load]]-Table1[[#This Row],[Total_Children_Under_Care]],0)</f>
        <v>416</v>
      </c>
      <c r="M28" s="5">
        <f t="shared" si="0"/>
        <v>-31</v>
      </c>
      <c r="N28" s="5">
        <f>M29-Table1[[#This Row],[Net_Daily_Intake]]</f>
        <v>-83</v>
      </c>
      <c r="O28" s="5">
        <f>M29-Table1[[#This Row],[Net_Daily_Intake]]/Table1[[#This Row],[Net_Daily_Intake]]</f>
        <v>-115</v>
      </c>
      <c r="P28" t="str">
        <f>IF(Table1[[#This Row],[Change_in_Net_Daily_Intake]]&gt;0,"Sustained Positive","Negative")</f>
        <v>Negative</v>
      </c>
      <c r="Q28" s="1">
        <f>(Table1[[#This Row],[Total_System_Load]]-Table1[[#This Row],[Total_Children_Under_Care]])/Table1[[#This Row],[Total_Children_Under_Care]]*100</f>
        <v>5.4054054054054053</v>
      </c>
      <c r="R28" s="1">
        <f>(Table1[[#This Row],[Children_discharged _from_HHS_ Care]]/Table1[[#This Row],[Children_transferred_out_of_CBP_custody]])</f>
        <v>1.1834319526627219</v>
      </c>
    </row>
    <row r="29" spans="1:18" x14ac:dyDescent="0.3">
      <c r="A29">
        <v>28</v>
      </c>
      <c r="B29" s="7">
        <v>44986</v>
      </c>
      <c r="C29" s="5">
        <v>84</v>
      </c>
      <c r="D29" s="5">
        <v>158</v>
      </c>
      <c r="E29" s="5">
        <v>193</v>
      </c>
      <c r="F29" s="5">
        <v>7930</v>
      </c>
      <c r="G29" s="5">
        <v>307</v>
      </c>
      <c r="H29" t="str">
        <f t="shared" si="1"/>
        <v>Invalid</v>
      </c>
      <c r="I29" t="str">
        <f t="shared" si="2"/>
        <v>Valid</v>
      </c>
      <c r="J29" s="5">
        <f t="shared" si="3"/>
        <v>7623</v>
      </c>
      <c r="K29" s="5">
        <f t="shared" si="4"/>
        <v>8088</v>
      </c>
      <c r="L29" s="5">
        <f>IF(Table1[[#This Row],[Total_System_Load]]&gt;80%*AVERAGE(Table1[Total_System_Load]),Table1[[#This Row],[Total_System_Load]]-Table1[[#This Row],[Total_Children_Under_Care]],0)</f>
        <v>465</v>
      </c>
      <c r="M29" s="5">
        <f t="shared" si="0"/>
        <v>-114</v>
      </c>
      <c r="N29" s="5">
        <f>M30-Table1[[#This Row],[Net_Daily_Intake]]</f>
        <v>-29</v>
      </c>
      <c r="O29" s="5">
        <f>M30-Table1[[#This Row],[Net_Daily_Intake]]/Table1[[#This Row],[Net_Daily_Intake]]</f>
        <v>-144</v>
      </c>
      <c r="P29" t="str">
        <f>IF(Table1[[#This Row],[Change_in_Net_Daily_Intake]]&gt;0,"Sustained Positive","Negative")</f>
        <v>Negative</v>
      </c>
      <c r="Q29" s="1">
        <f>(Table1[[#This Row],[Total_System_Load]]-Table1[[#This Row],[Total_Children_Under_Care]])/Table1[[#This Row],[Total_Children_Under_Care]]*100</f>
        <v>6.0999606454151909</v>
      </c>
      <c r="R29" s="1">
        <f>(Table1[[#This Row],[Children_discharged _from_HHS_ Care]]/Table1[[#This Row],[Children_transferred_out_of_CBP_custody]])</f>
        <v>1.5906735751295338</v>
      </c>
    </row>
    <row r="30" spans="1:18" x14ac:dyDescent="0.3">
      <c r="A30">
        <v>29</v>
      </c>
      <c r="B30" s="7">
        <v>44987</v>
      </c>
      <c r="C30" s="5">
        <v>130</v>
      </c>
      <c r="D30" s="5">
        <v>227</v>
      </c>
      <c r="E30" s="5">
        <v>192</v>
      </c>
      <c r="F30" s="5">
        <v>7870</v>
      </c>
      <c r="G30" s="5">
        <v>335</v>
      </c>
      <c r="H30" t="str">
        <f t="shared" si="1"/>
        <v>Valid</v>
      </c>
      <c r="I30" t="str">
        <f t="shared" si="2"/>
        <v>Valid</v>
      </c>
      <c r="J30" s="5">
        <f t="shared" si="3"/>
        <v>7535</v>
      </c>
      <c r="K30" s="5">
        <f t="shared" si="4"/>
        <v>8097</v>
      </c>
      <c r="L30" s="5">
        <f>IF(Table1[[#This Row],[Total_System_Load]]&gt;80%*AVERAGE(Table1[Total_System_Load]),Table1[[#This Row],[Total_System_Load]]-Table1[[#This Row],[Total_Children_Under_Care]],0)</f>
        <v>562</v>
      </c>
      <c r="M30" s="5">
        <f t="shared" si="0"/>
        <v>-143</v>
      </c>
      <c r="N30" s="5">
        <f>M31-Table1[[#This Row],[Net_Daily_Intake]]</f>
        <v>44</v>
      </c>
      <c r="O30" s="5">
        <f>M31-Table1[[#This Row],[Net_Daily_Intake]]/Table1[[#This Row],[Net_Daily_Intake]]</f>
        <v>-100</v>
      </c>
      <c r="P30" t="str">
        <f>IF(Table1[[#This Row],[Change_in_Net_Daily_Intake]]&gt;0,"Sustained Positive","Negative")</f>
        <v>Sustained Positive</v>
      </c>
      <c r="Q30" s="1">
        <f>(Table1[[#This Row],[Total_System_Load]]-Table1[[#This Row],[Total_Children_Under_Care]])/Table1[[#This Row],[Total_Children_Under_Care]]*100</f>
        <v>7.4585268745852682</v>
      </c>
      <c r="R30" s="1">
        <f>(Table1[[#This Row],[Children_discharged _from_HHS_ Care]]/Table1[[#This Row],[Children_transferred_out_of_CBP_custody]])</f>
        <v>1.7447916666666667</v>
      </c>
    </row>
    <row r="31" spans="1:18" x14ac:dyDescent="0.3">
      <c r="A31">
        <v>30</v>
      </c>
      <c r="B31" s="7">
        <v>44992</v>
      </c>
      <c r="C31" s="5">
        <v>88</v>
      </c>
      <c r="D31" s="5">
        <v>214</v>
      </c>
      <c r="E31" s="5">
        <v>160</v>
      </c>
      <c r="F31" s="5">
        <v>7859</v>
      </c>
      <c r="G31" s="5">
        <v>259</v>
      </c>
      <c r="H31" t="str">
        <f t="shared" si="1"/>
        <v>Valid</v>
      </c>
      <c r="I31" t="str">
        <f t="shared" si="2"/>
        <v>Valid</v>
      </c>
      <c r="J31" s="5">
        <f t="shared" si="3"/>
        <v>7600</v>
      </c>
      <c r="K31" s="5">
        <f t="shared" si="4"/>
        <v>8073</v>
      </c>
      <c r="L31" s="5">
        <f>IF(Table1[[#This Row],[Total_System_Load]]&gt;80%*AVERAGE(Table1[Total_System_Load]),Table1[[#This Row],[Total_System_Load]]-Table1[[#This Row],[Total_Children_Under_Care]],0)</f>
        <v>473</v>
      </c>
      <c r="M31" s="5">
        <f t="shared" si="0"/>
        <v>-99</v>
      </c>
      <c r="N31" s="5">
        <f>M32-Table1[[#This Row],[Net_Daily_Intake]]</f>
        <v>-33</v>
      </c>
      <c r="O31" s="5">
        <f>M32-Table1[[#This Row],[Net_Daily_Intake]]/Table1[[#This Row],[Net_Daily_Intake]]</f>
        <v>-133</v>
      </c>
      <c r="P31" t="str">
        <f>IF(Table1[[#This Row],[Change_in_Net_Daily_Intake]]&gt;0,"Sustained Positive","Negative")</f>
        <v>Negative</v>
      </c>
      <c r="Q31" s="1">
        <f>(Table1[[#This Row],[Total_System_Load]]-Table1[[#This Row],[Total_Children_Under_Care]])/Table1[[#This Row],[Total_Children_Under_Care]]*100</f>
        <v>6.2236842105263159</v>
      </c>
      <c r="R31" s="1">
        <f>(Table1[[#This Row],[Children_discharged _from_HHS_ Care]]/Table1[[#This Row],[Children_transferred_out_of_CBP_custody]])</f>
        <v>1.6187499999999999</v>
      </c>
    </row>
    <row r="32" spans="1:18" x14ac:dyDescent="0.3">
      <c r="A32">
        <v>31</v>
      </c>
      <c r="B32" s="7">
        <v>44993</v>
      </c>
      <c r="C32" s="5">
        <v>113</v>
      </c>
      <c r="D32" s="5">
        <v>208</v>
      </c>
      <c r="E32" s="5">
        <v>159</v>
      </c>
      <c r="F32" s="5">
        <v>7885</v>
      </c>
      <c r="G32" s="5">
        <v>291</v>
      </c>
      <c r="H32" t="str">
        <f t="shared" si="1"/>
        <v>Valid</v>
      </c>
      <c r="I32" t="str">
        <f t="shared" si="2"/>
        <v>Valid</v>
      </c>
      <c r="J32" s="5">
        <f t="shared" si="3"/>
        <v>7594</v>
      </c>
      <c r="K32" s="5">
        <f t="shared" si="4"/>
        <v>8093</v>
      </c>
      <c r="L32" s="5">
        <f>IF(Table1[[#This Row],[Total_System_Load]]&gt;80%*AVERAGE(Table1[Total_System_Load]),Table1[[#This Row],[Total_System_Load]]-Table1[[#This Row],[Total_Children_Under_Care]],0)</f>
        <v>499</v>
      </c>
      <c r="M32" s="5">
        <f t="shared" si="0"/>
        <v>-132</v>
      </c>
      <c r="N32" s="5">
        <f>M33-Table1[[#This Row],[Net_Daily_Intake]]</f>
        <v>-58</v>
      </c>
      <c r="O32" s="5">
        <f>M33-Table1[[#This Row],[Net_Daily_Intake]]/Table1[[#This Row],[Net_Daily_Intake]]</f>
        <v>-191</v>
      </c>
      <c r="P32" t="str">
        <f>IF(Table1[[#This Row],[Change_in_Net_Daily_Intake]]&gt;0,"Sustained Positive","Negative")</f>
        <v>Negative</v>
      </c>
      <c r="Q32" s="1">
        <f>(Table1[[#This Row],[Total_System_Load]]-Table1[[#This Row],[Total_Children_Under_Care]])/Table1[[#This Row],[Total_Children_Under_Care]]*100</f>
        <v>6.5709770871740849</v>
      </c>
      <c r="R32" s="1">
        <f>(Table1[[#This Row],[Children_discharged _from_HHS_ Care]]/Table1[[#This Row],[Children_transferred_out_of_CBP_custody]])</f>
        <v>1.8301886792452831</v>
      </c>
    </row>
    <row r="33" spans="1:18" x14ac:dyDescent="0.3">
      <c r="A33">
        <v>32</v>
      </c>
      <c r="B33" s="7">
        <v>44994</v>
      </c>
      <c r="C33" s="5">
        <v>174</v>
      </c>
      <c r="D33" s="5">
        <v>285</v>
      </c>
      <c r="E33" s="5">
        <v>150</v>
      </c>
      <c r="F33" s="5">
        <v>7786</v>
      </c>
      <c r="G33" s="5">
        <v>340</v>
      </c>
      <c r="H33" t="str">
        <f t="shared" si="1"/>
        <v>Valid</v>
      </c>
      <c r="I33" t="str">
        <f t="shared" si="2"/>
        <v>Valid</v>
      </c>
      <c r="J33" s="5">
        <f t="shared" si="3"/>
        <v>7446</v>
      </c>
      <c r="K33" s="5">
        <f t="shared" si="4"/>
        <v>8071</v>
      </c>
      <c r="L33" s="5">
        <f>IF(Table1[[#This Row],[Total_System_Load]]&gt;80%*AVERAGE(Table1[Total_System_Load]),Table1[[#This Row],[Total_System_Load]]-Table1[[#This Row],[Total_Children_Under_Care]],0)</f>
        <v>625</v>
      </c>
      <c r="M33" s="5">
        <f t="shared" si="0"/>
        <v>-190</v>
      </c>
      <c r="N33" s="5">
        <f>M34-Table1[[#This Row],[Net_Daily_Intake]]</f>
        <v>147</v>
      </c>
      <c r="O33" s="5">
        <f>M34-Table1[[#This Row],[Net_Daily_Intake]]/Table1[[#This Row],[Net_Daily_Intake]]</f>
        <v>-44</v>
      </c>
      <c r="P33" t="str">
        <f>IF(Table1[[#This Row],[Change_in_Net_Daily_Intake]]&gt;0,"Sustained Positive","Negative")</f>
        <v>Sustained Positive</v>
      </c>
      <c r="Q33" s="1">
        <f>(Table1[[#This Row],[Total_System_Load]]-Table1[[#This Row],[Total_Children_Under_Care]])/Table1[[#This Row],[Total_Children_Under_Care]]*100</f>
        <v>8.3937684662906253</v>
      </c>
      <c r="R33" s="1">
        <f>(Table1[[#This Row],[Children_discharged _from_HHS_ Care]]/Table1[[#This Row],[Children_transferred_out_of_CBP_custody]])</f>
        <v>2.2666666666666666</v>
      </c>
    </row>
    <row r="34" spans="1:18" x14ac:dyDescent="0.3">
      <c r="A34">
        <v>33</v>
      </c>
      <c r="B34" s="7">
        <v>44998</v>
      </c>
      <c r="C34" s="5">
        <v>104</v>
      </c>
      <c r="D34" s="5">
        <v>230</v>
      </c>
      <c r="E34" s="5">
        <v>206</v>
      </c>
      <c r="F34" s="5">
        <v>7567</v>
      </c>
      <c r="G34" s="5">
        <v>249</v>
      </c>
      <c r="H34" t="str">
        <f t="shared" si="1"/>
        <v>Valid</v>
      </c>
      <c r="I34" t="str">
        <f t="shared" si="2"/>
        <v>Valid</v>
      </c>
      <c r="J34" s="5">
        <f t="shared" si="3"/>
        <v>7318</v>
      </c>
      <c r="K34" s="5">
        <f t="shared" si="4"/>
        <v>7797</v>
      </c>
      <c r="L34" s="5">
        <f>IF(Table1[[#This Row],[Total_System_Load]]&gt;80%*AVERAGE(Table1[Total_System_Load]),Table1[[#This Row],[Total_System_Load]]-Table1[[#This Row],[Total_Children_Under_Care]],0)</f>
        <v>479</v>
      </c>
      <c r="M34" s="5">
        <f t="shared" si="0"/>
        <v>-43</v>
      </c>
      <c r="N34" s="5">
        <f>M35-Table1[[#This Row],[Net_Daily_Intake]]</f>
        <v>76</v>
      </c>
      <c r="O34" s="5">
        <f>M35-Table1[[#This Row],[Net_Daily_Intake]]/Table1[[#This Row],[Net_Daily_Intake]]</f>
        <v>32</v>
      </c>
      <c r="P34" t="str">
        <f>IF(Table1[[#This Row],[Change_in_Net_Daily_Intake]]&gt;0,"Sustained Positive","Negative")</f>
        <v>Sustained Positive</v>
      </c>
      <c r="Q34" s="1">
        <f>(Table1[[#This Row],[Total_System_Load]]-Table1[[#This Row],[Total_Children_Under_Care]])/Table1[[#This Row],[Total_Children_Under_Care]]*100</f>
        <v>6.5455042361300899</v>
      </c>
      <c r="R34" s="1">
        <f>(Table1[[#This Row],[Children_discharged _from_HHS_ Care]]/Table1[[#This Row],[Children_transferred_out_of_CBP_custody]])</f>
        <v>1.2087378640776698</v>
      </c>
    </row>
    <row r="35" spans="1:18" x14ac:dyDescent="0.3">
      <c r="A35">
        <v>34</v>
      </c>
      <c r="B35" s="7">
        <v>44999</v>
      </c>
      <c r="C35" s="5">
        <v>147</v>
      </c>
      <c r="D35" s="5">
        <v>276</v>
      </c>
      <c r="E35" s="5">
        <v>214</v>
      </c>
      <c r="F35" s="5">
        <v>7810</v>
      </c>
      <c r="G35" s="5">
        <v>181</v>
      </c>
      <c r="H35" t="str">
        <f t="shared" si="1"/>
        <v>Valid</v>
      </c>
      <c r="I35" t="str">
        <f t="shared" si="2"/>
        <v>Valid</v>
      </c>
      <c r="J35" s="5">
        <f t="shared" si="3"/>
        <v>7629</v>
      </c>
      <c r="K35" s="5">
        <f t="shared" si="4"/>
        <v>8086</v>
      </c>
      <c r="L35" s="5">
        <f>IF(Table1[[#This Row],[Total_System_Load]]&gt;80%*AVERAGE(Table1[Total_System_Load]),Table1[[#This Row],[Total_System_Load]]-Table1[[#This Row],[Total_Children_Under_Care]],0)</f>
        <v>457</v>
      </c>
      <c r="M35" s="5">
        <f t="shared" si="0"/>
        <v>33</v>
      </c>
      <c r="N35" s="5">
        <f>M36-Table1[[#This Row],[Net_Daily_Intake]]</f>
        <v>-106</v>
      </c>
      <c r="O35" s="5">
        <f>M36-Table1[[#This Row],[Net_Daily_Intake]]/Table1[[#This Row],[Net_Daily_Intake]]</f>
        <v>-74</v>
      </c>
      <c r="P35" t="str">
        <f>IF(Table1[[#This Row],[Change_in_Net_Daily_Intake]]&gt;0,"Sustained Positive","Negative")</f>
        <v>Negative</v>
      </c>
      <c r="Q35" s="1">
        <f>(Table1[[#This Row],[Total_System_Load]]-Table1[[#This Row],[Total_Children_Under_Care]])/Table1[[#This Row],[Total_Children_Under_Care]]*100</f>
        <v>5.9903001704024117</v>
      </c>
      <c r="R35" s="1">
        <f>(Table1[[#This Row],[Children_discharged _from_HHS_ Care]]/Table1[[#This Row],[Children_transferred_out_of_CBP_custody]])</f>
        <v>0.84579439252336452</v>
      </c>
    </row>
    <row r="36" spans="1:18" x14ac:dyDescent="0.3">
      <c r="A36">
        <v>35</v>
      </c>
      <c r="B36" s="7">
        <v>45000</v>
      </c>
      <c r="C36" s="5">
        <v>108</v>
      </c>
      <c r="D36" s="5">
        <v>220</v>
      </c>
      <c r="E36" s="5">
        <v>213</v>
      </c>
      <c r="F36" s="5">
        <v>7915</v>
      </c>
      <c r="G36" s="5">
        <v>286</v>
      </c>
      <c r="H36" t="str">
        <f t="shared" si="1"/>
        <v>Valid</v>
      </c>
      <c r="I36" t="str">
        <f t="shared" si="2"/>
        <v>Valid</v>
      </c>
      <c r="J36" s="5">
        <f t="shared" si="3"/>
        <v>7629</v>
      </c>
      <c r="K36" s="5">
        <f t="shared" si="4"/>
        <v>8135</v>
      </c>
      <c r="L36" s="5">
        <f>IF(Table1[[#This Row],[Total_System_Load]]&gt;80%*AVERAGE(Table1[Total_System_Load]),Table1[[#This Row],[Total_System_Load]]-Table1[[#This Row],[Total_Children_Under_Care]],0)</f>
        <v>506</v>
      </c>
      <c r="M36" s="5">
        <f t="shared" si="0"/>
        <v>-73</v>
      </c>
      <c r="N36" s="5">
        <f>M37-Table1[[#This Row],[Net_Daily_Intake]]</f>
        <v>-89</v>
      </c>
      <c r="O36" s="5">
        <f>M37-Table1[[#This Row],[Net_Daily_Intake]]/Table1[[#This Row],[Net_Daily_Intake]]</f>
        <v>-163</v>
      </c>
      <c r="P36" t="str">
        <f>IF(Table1[[#This Row],[Change_in_Net_Daily_Intake]]&gt;0,"Sustained Positive","Negative")</f>
        <v>Negative</v>
      </c>
      <c r="Q36" s="1">
        <f>(Table1[[#This Row],[Total_System_Load]]-Table1[[#This Row],[Total_Children_Under_Care]])/Table1[[#This Row],[Total_Children_Under_Care]]*100</f>
        <v>6.6325861842967626</v>
      </c>
      <c r="R36" s="1">
        <f>(Table1[[#This Row],[Children_discharged _from_HHS_ Care]]/Table1[[#This Row],[Children_transferred_out_of_CBP_custody]])</f>
        <v>1.3427230046948357</v>
      </c>
    </row>
    <row r="37" spans="1:18" x14ac:dyDescent="0.3">
      <c r="A37">
        <v>36</v>
      </c>
      <c r="B37" s="7">
        <v>45001</v>
      </c>
      <c r="C37" s="5">
        <v>180</v>
      </c>
      <c r="D37" s="5">
        <v>280</v>
      </c>
      <c r="E37" s="5">
        <v>146</v>
      </c>
      <c r="F37" s="5">
        <v>7989</v>
      </c>
      <c r="G37" s="5">
        <v>308</v>
      </c>
      <c r="H37" t="str">
        <f t="shared" si="1"/>
        <v>Valid</v>
      </c>
      <c r="I37" t="str">
        <f t="shared" si="2"/>
        <v>Valid</v>
      </c>
      <c r="J37" s="5">
        <f t="shared" si="3"/>
        <v>7681</v>
      </c>
      <c r="K37" s="5">
        <f t="shared" si="4"/>
        <v>8269</v>
      </c>
      <c r="L37" s="5">
        <f>IF(Table1[[#This Row],[Total_System_Load]]&gt;80%*AVERAGE(Table1[Total_System_Load]),Table1[[#This Row],[Total_System_Load]]-Table1[[#This Row],[Total_Children_Under_Care]],0)</f>
        <v>588</v>
      </c>
      <c r="M37" s="5">
        <f t="shared" si="0"/>
        <v>-162</v>
      </c>
      <c r="N37" s="5">
        <f>M38-Table1[[#This Row],[Net_Daily_Intake]]</f>
        <v>42</v>
      </c>
      <c r="O37" s="5">
        <f>M38-Table1[[#This Row],[Net_Daily_Intake]]/Table1[[#This Row],[Net_Daily_Intake]]</f>
        <v>-121</v>
      </c>
      <c r="P37" t="str">
        <f>IF(Table1[[#This Row],[Change_in_Net_Daily_Intake]]&gt;0,"Sustained Positive","Negative")</f>
        <v>Sustained Positive</v>
      </c>
      <c r="Q37" s="1">
        <f>(Table1[[#This Row],[Total_System_Load]]-Table1[[#This Row],[Total_Children_Under_Care]])/Table1[[#This Row],[Total_Children_Under_Care]]*100</f>
        <v>7.6552532222366878</v>
      </c>
      <c r="R37" s="1">
        <f>(Table1[[#This Row],[Children_discharged _from_HHS_ Care]]/Table1[[#This Row],[Children_transferred_out_of_CBP_custody]])</f>
        <v>2.1095890410958904</v>
      </c>
    </row>
    <row r="38" spans="1:18" x14ac:dyDescent="0.3">
      <c r="A38">
        <v>37</v>
      </c>
      <c r="B38" s="7">
        <v>45004</v>
      </c>
      <c r="C38" s="5">
        <v>134</v>
      </c>
      <c r="D38" s="5">
        <v>294</v>
      </c>
      <c r="E38" s="5">
        <v>186</v>
      </c>
      <c r="F38" s="5">
        <v>7885</v>
      </c>
      <c r="G38" s="5">
        <v>306</v>
      </c>
      <c r="H38" t="str">
        <f t="shared" si="1"/>
        <v>Valid</v>
      </c>
      <c r="I38" t="str">
        <f t="shared" si="2"/>
        <v>Valid</v>
      </c>
      <c r="J38" s="5">
        <f t="shared" si="3"/>
        <v>7579</v>
      </c>
      <c r="K38" s="5">
        <f t="shared" si="4"/>
        <v>8179</v>
      </c>
      <c r="L38" s="5">
        <f>IF(Table1[[#This Row],[Total_System_Load]]&gt;80%*AVERAGE(Table1[Total_System_Load]),Table1[[#This Row],[Total_System_Load]]-Table1[[#This Row],[Total_Children_Under_Care]],0)</f>
        <v>600</v>
      </c>
      <c r="M38" s="5">
        <f t="shared" si="0"/>
        <v>-120</v>
      </c>
      <c r="N38" s="5">
        <f>M39-Table1[[#This Row],[Net_Daily_Intake]]</f>
        <v>-1</v>
      </c>
      <c r="O38" s="5">
        <f>M39-Table1[[#This Row],[Net_Daily_Intake]]/Table1[[#This Row],[Net_Daily_Intake]]</f>
        <v>-122</v>
      </c>
      <c r="P38" t="str">
        <f>IF(Table1[[#This Row],[Change_in_Net_Daily_Intake]]&gt;0,"Sustained Positive","Negative")</f>
        <v>Negative</v>
      </c>
      <c r="Q38" s="1">
        <f>(Table1[[#This Row],[Total_System_Load]]-Table1[[#This Row],[Total_Children_Under_Care]])/Table1[[#This Row],[Total_Children_Under_Care]]*100</f>
        <v>7.9166116901965955</v>
      </c>
      <c r="R38" s="1">
        <f>(Table1[[#This Row],[Children_discharged _from_HHS_ Care]]/Table1[[#This Row],[Children_transferred_out_of_CBP_custody]])</f>
        <v>1.6451612903225807</v>
      </c>
    </row>
    <row r="39" spans="1:18" x14ac:dyDescent="0.3">
      <c r="A39">
        <v>38</v>
      </c>
      <c r="B39" s="7">
        <v>45005</v>
      </c>
      <c r="C39" s="5">
        <v>202</v>
      </c>
      <c r="D39" s="5">
        <v>313</v>
      </c>
      <c r="E39" s="5">
        <v>158</v>
      </c>
      <c r="F39" s="5">
        <v>7931</v>
      </c>
      <c r="G39" s="5">
        <v>279</v>
      </c>
      <c r="H39" t="str">
        <f t="shared" si="1"/>
        <v>Valid</v>
      </c>
      <c r="I39" t="str">
        <f t="shared" si="2"/>
        <v>Valid</v>
      </c>
      <c r="J39" s="5">
        <f t="shared" si="3"/>
        <v>7652</v>
      </c>
      <c r="K39" s="5">
        <f t="shared" si="4"/>
        <v>8244</v>
      </c>
      <c r="L39" s="5">
        <f>IF(Table1[[#This Row],[Total_System_Load]]&gt;80%*AVERAGE(Table1[Total_System_Load]),Table1[[#This Row],[Total_System_Load]]-Table1[[#This Row],[Total_Children_Under_Care]],0)</f>
        <v>592</v>
      </c>
      <c r="M39" s="5">
        <f t="shared" si="0"/>
        <v>-121</v>
      </c>
      <c r="N39" s="5">
        <f>M40-Table1[[#This Row],[Net_Daily_Intake]]</f>
        <v>93</v>
      </c>
      <c r="O39" s="5">
        <f>M40-Table1[[#This Row],[Net_Daily_Intake]]/Table1[[#This Row],[Net_Daily_Intake]]</f>
        <v>-29</v>
      </c>
      <c r="P39" t="str">
        <f>IF(Table1[[#This Row],[Change_in_Net_Daily_Intake]]&gt;0,"Sustained Positive","Negative")</f>
        <v>Sustained Positive</v>
      </c>
      <c r="Q39" s="1">
        <f>(Table1[[#This Row],[Total_System_Load]]-Table1[[#This Row],[Total_Children_Under_Care]])/Table1[[#This Row],[Total_Children_Under_Care]]*100</f>
        <v>7.7365394668060636</v>
      </c>
      <c r="R39" s="1">
        <f>(Table1[[#This Row],[Children_discharged _from_HHS_ Care]]/Table1[[#This Row],[Children_transferred_out_of_CBP_custody]])</f>
        <v>1.7658227848101267</v>
      </c>
    </row>
    <row r="40" spans="1:18" x14ac:dyDescent="0.3">
      <c r="A40">
        <v>39</v>
      </c>
      <c r="B40" s="7">
        <v>45006</v>
      </c>
      <c r="C40" s="5">
        <v>110</v>
      </c>
      <c r="D40" s="5">
        <v>272</v>
      </c>
      <c r="E40" s="5">
        <v>193</v>
      </c>
      <c r="F40" s="5">
        <v>8050</v>
      </c>
      <c r="G40" s="5">
        <v>221</v>
      </c>
      <c r="H40" t="str">
        <f t="shared" si="1"/>
        <v>Valid</v>
      </c>
      <c r="I40" t="str">
        <f t="shared" si="2"/>
        <v>Valid</v>
      </c>
      <c r="J40" s="5">
        <f t="shared" si="3"/>
        <v>7829</v>
      </c>
      <c r="K40" s="5">
        <f t="shared" si="4"/>
        <v>8322</v>
      </c>
      <c r="L40" s="5">
        <f>IF(Table1[[#This Row],[Total_System_Load]]&gt;80%*AVERAGE(Table1[Total_System_Load]),Table1[[#This Row],[Total_System_Load]]-Table1[[#This Row],[Total_Children_Under_Care]],0)</f>
        <v>493</v>
      </c>
      <c r="M40" s="5">
        <f t="shared" si="0"/>
        <v>-28</v>
      </c>
      <c r="N40" s="5">
        <f>M41-Table1[[#This Row],[Net_Daily_Intake]]</f>
        <v>11</v>
      </c>
      <c r="O40" s="5">
        <f>M41-Table1[[#This Row],[Net_Daily_Intake]]/Table1[[#This Row],[Net_Daily_Intake]]</f>
        <v>-18</v>
      </c>
      <c r="P40" t="str">
        <f>IF(Table1[[#This Row],[Change_in_Net_Daily_Intake]]&gt;0,"Sustained Positive","Negative")</f>
        <v>Sustained Positive</v>
      </c>
      <c r="Q40" s="1">
        <f>(Table1[[#This Row],[Total_System_Load]]-Table1[[#This Row],[Total_Children_Under_Care]])/Table1[[#This Row],[Total_Children_Under_Care]]*100</f>
        <v>6.2971005236939588</v>
      </c>
      <c r="R40" s="1">
        <f>(Table1[[#This Row],[Children_discharged _from_HHS_ Care]]/Table1[[#This Row],[Children_transferred_out_of_CBP_custody]])</f>
        <v>1.145077720207254</v>
      </c>
    </row>
    <row r="41" spans="1:18" x14ac:dyDescent="0.3">
      <c r="A41">
        <v>40</v>
      </c>
      <c r="B41" s="7">
        <v>45007</v>
      </c>
      <c r="C41" s="5">
        <v>166</v>
      </c>
      <c r="D41" s="5">
        <v>277</v>
      </c>
      <c r="E41" s="5">
        <v>229</v>
      </c>
      <c r="F41" s="5">
        <v>8097</v>
      </c>
      <c r="G41" s="5">
        <v>246</v>
      </c>
      <c r="H41" t="str">
        <f t="shared" si="1"/>
        <v>Valid</v>
      </c>
      <c r="I41" t="str">
        <f t="shared" si="2"/>
        <v>Valid</v>
      </c>
      <c r="J41" s="5">
        <f t="shared" si="3"/>
        <v>7851</v>
      </c>
      <c r="K41" s="5">
        <f t="shared" si="4"/>
        <v>8374</v>
      </c>
      <c r="L41" s="5">
        <f>IF(Table1[[#This Row],[Total_System_Load]]&gt;80%*AVERAGE(Table1[Total_System_Load]),Table1[[#This Row],[Total_System_Load]]-Table1[[#This Row],[Total_Children_Under_Care]],0)</f>
        <v>523</v>
      </c>
      <c r="M41" s="5">
        <f t="shared" si="0"/>
        <v>-17</v>
      </c>
      <c r="N41" s="5">
        <f>M42-Table1[[#This Row],[Net_Daily_Intake]]</f>
        <v>-136</v>
      </c>
      <c r="O41" s="5">
        <f>M42-Table1[[#This Row],[Net_Daily_Intake]]/Table1[[#This Row],[Net_Daily_Intake]]</f>
        <v>-154</v>
      </c>
      <c r="P41" t="str">
        <f>IF(Table1[[#This Row],[Change_in_Net_Daily_Intake]]&gt;0,"Sustained Positive","Negative")</f>
        <v>Negative</v>
      </c>
      <c r="Q41" s="1">
        <f>(Table1[[#This Row],[Total_System_Load]]-Table1[[#This Row],[Total_Children_Under_Care]])/Table1[[#This Row],[Total_Children_Under_Care]]*100</f>
        <v>6.6615717742962683</v>
      </c>
      <c r="R41" s="1">
        <f>(Table1[[#This Row],[Children_discharged _from_HHS_ Care]]/Table1[[#This Row],[Children_transferred_out_of_CBP_custody]])</f>
        <v>1.0742358078602621</v>
      </c>
    </row>
    <row r="42" spans="1:18" x14ac:dyDescent="0.3">
      <c r="A42">
        <v>41</v>
      </c>
      <c r="B42" s="7">
        <v>45008</v>
      </c>
      <c r="C42" s="5">
        <v>136</v>
      </c>
      <c r="D42" s="5">
        <v>276</v>
      </c>
      <c r="E42" s="5">
        <v>178</v>
      </c>
      <c r="F42" s="5">
        <v>8102</v>
      </c>
      <c r="G42" s="5">
        <v>331</v>
      </c>
      <c r="H42" t="str">
        <f t="shared" si="1"/>
        <v>Valid</v>
      </c>
      <c r="I42" t="str">
        <f t="shared" si="2"/>
        <v>Valid</v>
      </c>
      <c r="J42" s="5">
        <f t="shared" si="3"/>
        <v>7771</v>
      </c>
      <c r="K42" s="5">
        <f t="shared" si="4"/>
        <v>8378</v>
      </c>
      <c r="L42" s="5">
        <f>IF(Table1[[#This Row],[Total_System_Load]]&gt;80%*AVERAGE(Table1[Total_System_Load]),Table1[[#This Row],[Total_System_Load]]-Table1[[#This Row],[Total_Children_Under_Care]],0)</f>
        <v>607</v>
      </c>
      <c r="M42" s="5">
        <f t="shared" si="0"/>
        <v>-153</v>
      </c>
      <c r="N42" s="5">
        <f>M43-Table1[[#This Row],[Net_Daily_Intake]]</f>
        <v>-26</v>
      </c>
      <c r="O42" s="5">
        <f>M43-Table1[[#This Row],[Net_Daily_Intake]]/Table1[[#This Row],[Net_Daily_Intake]]</f>
        <v>-180</v>
      </c>
      <c r="P42" t="str">
        <f>IF(Table1[[#This Row],[Change_in_Net_Daily_Intake]]&gt;0,"Sustained Positive","Negative")</f>
        <v>Negative</v>
      </c>
      <c r="Q42" s="1">
        <f>(Table1[[#This Row],[Total_System_Load]]-Table1[[#This Row],[Total_Children_Under_Care]])/Table1[[#This Row],[Total_Children_Under_Care]]*100</f>
        <v>7.811092523484751</v>
      </c>
      <c r="R42" s="1">
        <f>(Table1[[#This Row],[Children_discharged _from_HHS_ Care]]/Table1[[#This Row],[Children_transferred_out_of_CBP_custody]])</f>
        <v>1.8595505617977528</v>
      </c>
    </row>
    <row r="43" spans="1:18" x14ac:dyDescent="0.3">
      <c r="A43">
        <v>42</v>
      </c>
      <c r="B43" s="7">
        <v>45011</v>
      </c>
      <c r="C43" s="5">
        <v>87</v>
      </c>
      <c r="D43" s="5">
        <v>246</v>
      </c>
      <c r="E43" s="5">
        <v>173</v>
      </c>
      <c r="F43" s="5">
        <v>7847</v>
      </c>
      <c r="G43" s="5">
        <v>352</v>
      </c>
      <c r="H43" t="str">
        <f t="shared" si="1"/>
        <v>Valid</v>
      </c>
      <c r="I43" t="str">
        <f t="shared" si="2"/>
        <v>Valid</v>
      </c>
      <c r="J43" s="5">
        <f t="shared" si="3"/>
        <v>7495</v>
      </c>
      <c r="K43" s="5">
        <f t="shared" si="4"/>
        <v>8093</v>
      </c>
      <c r="L43" s="5">
        <f>IF(Table1[[#This Row],[Total_System_Load]]&gt;80%*AVERAGE(Table1[Total_System_Load]),Table1[[#This Row],[Total_System_Load]]-Table1[[#This Row],[Total_Children_Under_Care]],0)</f>
        <v>598</v>
      </c>
      <c r="M43" s="5">
        <f t="shared" si="0"/>
        <v>-179</v>
      </c>
      <c r="N43" s="5">
        <f>M44-Table1[[#This Row],[Net_Daily_Intake]]</f>
        <v>101</v>
      </c>
      <c r="O43" s="5">
        <f>M44-Table1[[#This Row],[Net_Daily_Intake]]/Table1[[#This Row],[Net_Daily_Intake]]</f>
        <v>-79</v>
      </c>
      <c r="P43" t="str">
        <f>IF(Table1[[#This Row],[Change_in_Net_Daily_Intake]]&gt;0,"Sustained Positive","Negative")</f>
        <v>Sustained Positive</v>
      </c>
      <c r="Q43" s="1">
        <f>(Table1[[#This Row],[Total_System_Load]]-Table1[[#This Row],[Total_Children_Under_Care]])/Table1[[#This Row],[Total_Children_Under_Care]]*100</f>
        <v>7.9786524349566372</v>
      </c>
      <c r="R43" s="1">
        <f>(Table1[[#This Row],[Children_discharged _from_HHS_ Care]]/Table1[[#This Row],[Children_transferred_out_of_CBP_custody]])</f>
        <v>2.0346820809248554</v>
      </c>
    </row>
    <row r="44" spans="1:18" x14ac:dyDescent="0.3">
      <c r="A44">
        <v>43</v>
      </c>
      <c r="B44" s="7">
        <v>45012</v>
      </c>
      <c r="C44" s="5">
        <v>84</v>
      </c>
      <c r="D44" s="5">
        <v>171</v>
      </c>
      <c r="E44" s="5">
        <v>157</v>
      </c>
      <c r="F44" s="5">
        <v>7994</v>
      </c>
      <c r="G44" s="5">
        <v>235</v>
      </c>
      <c r="H44" t="str">
        <f t="shared" si="1"/>
        <v>Valid</v>
      </c>
      <c r="I44" t="str">
        <f t="shared" si="2"/>
        <v>Valid</v>
      </c>
      <c r="J44" s="5">
        <f t="shared" si="3"/>
        <v>7759</v>
      </c>
      <c r="K44" s="5">
        <f t="shared" si="4"/>
        <v>8165</v>
      </c>
      <c r="L44" s="5">
        <f>IF(Table1[[#This Row],[Total_System_Load]]&gt;80%*AVERAGE(Table1[Total_System_Load]),Table1[[#This Row],[Total_System_Load]]-Table1[[#This Row],[Total_Children_Under_Care]],0)</f>
        <v>406</v>
      </c>
      <c r="M44" s="5">
        <f t="shared" si="0"/>
        <v>-78</v>
      </c>
      <c r="N44" s="5">
        <f>M45-Table1[[#This Row],[Net_Daily_Intake]]</f>
        <v>12</v>
      </c>
      <c r="O44" s="5">
        <f>M45-Table1[[#This Row],[Net_Daily_Intake]]/Table1[[#This Row],[Net_Daily_Intake]]</f>
        <v>-67</v>
      </c>
      <c r="P44" t="str">
        <f>IF(Table1[[#This Row],[Change_in_Net_Daily_Intake]]&gt;0,"Sustained Positive","Negative")</f>
        <v>Sustained Positive</v>
      </c>
      <c r="Q44" s="1">
        <f>(Table1[[#This Row],[Total_System_Load]]-Table1[[#This Row],[Total_Children_Under_Care]])/Table1[[#This Row],[Total_Children_Under_Care]]*100</f>
        <v>5.2326330712720717</v>
      </c>
      <c r="R44" s="1">
        <f>(Table1[[#This Row],[Children_discharged _from_HHS_ Care]]/Table1[[#This Row],[Children_transferred_out_of_CBP_custody]])</f>
        <v>1.4968152866242037</v>
      </c>
    </row>
    <row r="45" spans="1:18" x14ac:dyDescent="0.3">
      <c r="A45">
        <v>44</v>
      </c>
      <c r="B45" s="7">
        <v>45013</v>
      </c>
      <c r="C45" s="5">
        <v>167</v>
      </c>
      <c r="D45" s="5">
        <v>209</v>
      </c>
      <c r="E45" s="5">
        <v>157</v>
      </c>
      <c r="F45" s="5">
        <v>8079</v>
      </c>
      <c r="G45" s="5">
        <v>223</v>
      </c>
      <c r="H45" t="str">
        <f t="shared" si="1"/>
        <v>Valid</v>
      </c>
      <c r="I45" t="str">
        <f t="shared" si="2"/>
        <v>Valid</v>
      </c>
      <c r="J45" s="5">
        <f t="shared" si="3"/>
        <v>7856</v>
      </c>
      <c r="K45" s="5">
        <f t="shared" si="4"/>
        <v>8288</v>
      </c>
      <c r="L45" s="5">
        <f>IF(Table1[[#This Row],[Total_System_Load]]&gt;80%*AVERAGE(Table1[Total_System_Load]),Table1[[#This Row],[Total_System_Load]]-Table1[[#This Row],[Total_Children_Under_Care]],0)</f>
        <v>432</v>
      </c>
      <c r="M45" s="5">
        <f t="shared" si="0"/>
        <v>-66</v>
      </c>
      <c r="N45" s="5">
        <f>M46-Table1[[#This Row],[Net_Daily_Intake]]</f>
        <v>-42</v>
      </c>
      <c r="O45" s="5">
        <f>M46-Table1[[#This Row],[Net_Daily_Intake]]/Table1[[#This Row],[Net_Daily_Intake]]</f>
        <v>-109</v>
      </c>
      <c r="P45" t="str">
        <f>IF(Table1[[#This Row],[Change_in_Net_Daily_Intake]]&gt;0,"Sustained Positive","Negative")</f>
        <v>Negative</v>
      </c>
      <c r="Q45" s="1">
        <f>(Table1[[#This Row],[Total_System_Load]]-Table1[[#This Row],[Total_Children_Under_Care]])/Table1[[#This Row],[Total_Children_Under_Care]]*100</f>
        <v>5.4989816700610996</v>
      </c>
      <c r="R45" s="1">
        <f>(Table1[[#This Row],[Children_discharged _from_HHS_ Care]]/Table1[[#This Row],[Children_transferred_out_of_CBP_custody]])</f>
        <v>1.4203821656050954</v>
      </c>
    </row>
    <row r="46" spans="1:18" x14ac:dyDescent="0.3">
      <c r="A46">
        <v>45</v>
      </c>
      <c r="B46" s="7">
        <v>45014</v>
      </c>
      <c r="C46" s="5">
        <v>109</v>
      </c>
      <c r="D46" s="5">
        <v>245</v>
      </c>
      <c r="E46" s="5">
        <v>159</v>
      </c>
      <c r="F46" s="5">
        <v>8208</v>
      </c>
      <c r="G46" s="5">
        <v>267</v>
      </c>
      <c r="H46" t="str">
        <f t="shared" si="1"/>
        <v>Valid</v>
      </c>
      <c r="I46" t="str">
        <f t="shared" si="2"/>
        <v>Valid</v>
      </c>
      <c r="J46" s="5">
        <f t="shared" si="3"/>
        <v>7941</v>
      </c>
      <c r="K46" s="5">
        <f t="shared" si="4"/>
        <v>8453</v>
      </c>
      <c r="L46" s="5">
        <f>IF(Table1[[#This Row],[Total_System_Load]]&gt;80%*AVERAGE(Table1[Total_System_Load]),Table1[[#This Row],[Total_System_Load]]-Table1[[#This Row],[Total_Children_Under_Care]],0)</f>
        <v>512</v>
      </c>
      <c r="M46" s="5">
        <f t="shared" si="0"/>
        <v>-108</v>
      </c>
      <c r="N46" s="5">
        <f>M47-Table1[[#This Row],[Net_Daily_Intake]]</f>
        <v>-75</v>
      </c>
      <c r="O46" s="5">
        <f>M47-Table1[[#This Row],[Net_Daily_Intake]]/Table1[[#This Row],[Net_Daily_Intake]]</f>
        <v>-184</v>
      </c>
      <c r="P46" t="str">
        <f>IF(Table1[[#This Row],[Change_in_Net_Daily_Intake]]&gt;0,"Sustained Positive","Negative")</f>
        <v>Negative</v>
      </c>
      <c r="Q46" s="1">
        <f>(Table1[[#This Row],[Total_System_Load]]-Table1[[#This Row],[Total_Children_Under_Care]])/Table1[[#This Row],[Total_Children_Under_Care]]*100</f>
        <v>6.4475506863115468</v>
      </c>
      <c r="R46" s="1">
        <f>(Table1[[#This Row],[Children_discharged _from_HHS_ Care]]/Table1[[#This Row],[Children_transferred_out_of_CBP_custody]])</f>
        <v>1.679245283018868</v>
      </c>
    </row>
    <row r="47" spans="1:18" x14ac:dyDescent="0.3">
      <c r="A47">
        <v>46</v>
      </c>
      <c r="B47" s="7">
        <v>45015</v>
      </c>
      <c r="C47" s="5">
        <v>156</v>
      </c>
      <c r="D47" s="5">
        <v>256</v>
      </c>
      <c r="E47" s="5">
        <v>176</v>
      </c>
      <c r="F47" s="5">
        <v>8158</v>
      </c>
      <c r="G47" s="5">
        <v>359</v>
      </c>
      <c r="H47" t="str">
        <f t="shared" si="1"/>
        <v>Valid</v>
      </c>
      <c r="I47" t="str">
        <f t="shared" si="2"/>
        <v>Valid</v>
      </c>
      <c r="J47" s="5">
        <f t="shared" si="3"/>
        <v>7799</v>
      </c>
      <c r="K47" s="5">
        <f t="shared" si="4"/>
        <v>8414</v>
      </c>
      <c r="L47" s="5">
        <f>IF(Table1[[#This Row],[Total_System_Load]]&gt;80%*AVERAGE(Table1[Total_System_Load]),Table1[[#This Row],[Total_System_Load]]-Table1[[#This Row],[Total_Children_Under_Care]],0)</f>
        <v>615</v>
      </c>
      <c r="M47" s="5">
        <f t="shared" si="0"/>
        <v>-183</v>
      </c>
      <c r="N47" s="5">
        <f>M48-Table1[[#This Row],[Net_Daily_Intake]]</f>
        <v>71</v>
      </c>
      <c r="O47" s="5">
        <f>M48-Table1[[#This Row],[Net_Daily_Intake]]/Table1[[#This Row],[Net_Daily_Intake]]</f>
        <v>-113</v>
      </c>
      <c r="P47" t="str">
        <f>IF(Table1[[#This Row],[Change_in_Net_Daily_Intake]]&gt;0,"Sustained Positive","Negative")</f>
        <v>Sustained Positive</v>
      </c>
      <c r="Q47" s="1">
        <f>(Table1[[#This Row],[Total_System_Load]]-Table1[[#This Row],[Total_Children_Under_Care]])/Table1[[#This Row],[Total_Children_Under_Care]]*100</f>
        <v>7.8856263623541478</v>
      </c>
      <c r="R47" s="1">
        <f>(Table1[[#This Row],[Children_discharged _from_HHS_ Care]]/Table1[[#This Row],[Children_transferred_out_of_CBP_custody]])</f>
        <v>2.0397727272727271</v>
      </c>
    </row>
    <row r="48" spans="1:18" x14ac:dyDescent="0.3">
      <c r="A48">
        <v>47</v>
      </c>
      <c r="B48" s="7">
        <v>45018</v>
      </c>
      <c r="C48" s="5">
        <v>125</v>
      </c>
      <c r="D48" s="5">
        <v>232</v>
      </c>
      <c r="E48" s="5">
        <v>192</v>
      </c>
      <c r="F48" s="5">
        <v>7981</v>
      </c>
      <c r="G48" s="5">
        <v>304</v>
      </c>
      <c r="H48" t="str">
        <f t="shared" si="1"/>
        <v>Valid</v>
      </c>
      <c r="I48" t="str">
        <f t="shared" si="2"/>
        <v>Valid</v>
      </c>
      <c r="J48" s="5">
        <f t="shared" si="3"/>
        <v>7677</v>
      </c>
      <c r="K48" s="5">
        <f t="shared" si="4"/>
        <v>8213</v>
      </c>
      <c r="L48" s="5">
        <f>IF(Table1[[#This Row],[Total_System_Load]]&gt;80%*AVERAGE(Table1[Total_System_Load]),Table1[[#This Row],[Total_System_Load]]-Table1[[#This Row],[Total_Children_Under_Care]],0)</f>
        <v>536</v>
      </c>
      <c r="M48" s="5">
        <f t="shared" si="0"/>
        <v>-112</v>
      </c>
      <c r="N48" s="5">
        <f>M49-Table1[[#This Row],[Net_Daily_Intake]]</f>
        <v>-4</v>
      </c>
      <c r="O48" s="5">
        <f>M49-Table1[[#This Row],[Net_Daily_Intake]]/Table1[[#This Row],[Net_Daily_Intake]]</f>
        <v>-117</v>
      </c>
      <c r="P48" t="str">
        <f>IF(Table1[[#This Row],[Change_in_Net_Daily_Intake]]&gt;0,"Sustained Positive","Negative")</f>
        <v>Negative</v>
      </c>
      <c r="Q48" s="1">
        <f>(Table1[[#This Row],[Total_System_Load]]-Table1[[#This Row],[Total_Children_Under_Care]])/Table1[[#This Row],[Total_Children_Under_Care]]*100</f>
        <v>6.9818939689983068</v>
      </c>
      <c r="R48" s="1">
        <f>(Table1[[#This Row],[Children_discharged _from_HHS_ Care]]/Table1[[#This Row],[Children_transferred_out_of_CBP_custody]])</f>
        <v>1.5833333333333333</v>
      </c>
    </row>
    <row r="49" spans="1:18" x14ac:dyDescent="0.3">
      <c r="A49">
        <v>48</v>
      </c>
      <c r="B49" s="7">
        <v>45019</v>
      </c>
      <c r="C49" s="5">
        <v>118</v>
      </c>
      <c r="D49" s="5">
        <v>139</v>
      </c>
      <c r="E49" s="5">
        <v>168</v>
      </c>
      <c r="F49" s="5">
        <v>8054</v>
      </c>
      <c r="G49" s="5">
        <v>284</v>
      </c>
      <c r="H49" t="str">
        <f t="shared" si="1"/>
        <v>Invalid</v>
      </c>
      <c r="I49" t="str">
        <f t="shared" si="2"/>
        <v>Valid</v>
      </c>
      <c r="J49" s="5">
        <f t="shared" si="3"/>
        <v>7770</v>
      </c>
      <c r="K49" s="5">
        <f t="shared" si="4"/>
        <v>8193</v>
      </c>
      <c r="L49" s="5">
        <f>IF(Table1[[#This Row],[Total_System_Load]]&gt;80%*AVERAGE(Table1[Total_System_Load]),Table1[[#This Row],[Total_System_Load]]-Table1[[#This Row],[Total_Children_Under_Care]],0)</f>
        <v>423</v>
      </c>
      <c r="M49" s="5">
        <f t="shared" si="0"/>
        <v>-116</v>
      </c>
      <c r="N49" s="5">
        <f>M50-Table1[[#This Row],[Net_Daily_Intake]]</f>
        <v>-4</v>
      </c>
      <c r="O49" s="5">
        <f>M50-Table1[[#This Row],[Net_Daily_Intake]]/Table1[[#This Row],[Net_Daily_Intake]]</f>
        <v>-121</v>
      </c>
      <c r="P49" t="str">
        <f>IF(Table1[[#This Row],[Change_in_Net_Daily_Intake]]&gt;0,"Sustained Positive","Negative")</f>
        <v>Negative</v>
      </c>
      <c r="Q49" s="1">
        <f>(Table1[[#This Row],[Total_System_Load]]-Table1[[#This Row],[Total_Children_Under_Care]])/Table1[[#This Row],[Total_Children_Under_Care]]*100</f>
        <v>5.4440154440154442</v>
      </c>
      <c r="R49" s="1">
        <f>(Table1[[#This Row],[Children_discharged _from_HHS_ Care]]/Table1[[#This Row],[Children_transferred_out_of_CBP_custody]])</f>
        <v>1.6904761904761905</v>
      </c>
    </row>
    <row r="50" spans="1:18" x14ac:dyDescent="0.3">
      <c r="A50">
        <v>49</v>
      </c>
      <c r="B50" s="7">
        <v>45020</v>
      </c>
      <c r="C50" s="5">
        <v>142</v>
      </c>
      <c r="D50" s="5">
        <v>235</v>
      </c>
      <c r="E50" s="5">
        <v>139</v>
      </c>
      <c r="F50" s="5">
        <v>8068</v>
      </c>
      <c r="G50" s="5">
        <v>259</v>
      </c>
      <c r="H50" t="str">
        <f t="shared" si="1"/>
        <v>Valid</v>
      </c>
      <c r="I50" t="str">
        <f t="shared" si="2"/>
        <v>Valid</v>
      </c>
      <c r="J50" s="5">
        <f t="shared" si="3"/>
        <v>7809</v>
      </c>
      <c r="K50" s="5">
        <f t="shared" si="4"/>
        <v>8303</v>
      </c>
      <c r="L50" s="5">
        <f>IF(Table1[[#This Row],[Total_System_Load]]&gt;80%*AVERAGE(Table1[Total_System_Load]),Table1[[#This Row],[Total_System_Load]]-Table1[[#This Row],[Total_Children_Under_Care]],0)</f>
        <v>494</v>
      </c>
      <c r="M50" s="5">
        <f t="shared" si="0"/>
        <v>-120</v>
      </c>
      <c r="N50" s="5">
        <f>M51-Table1[[#This Row],[Net_Daily_Intake]]</f>
        <v>35</v>
      </c>
      <c r="O50" s="5">
        <f>M51-Table1[[#This Row],[Net_Daily_Intake]]/Table1[[#This Row],[Net_Daily_Intake]]</f>
        <v>-86</v>
      </c>
      <c r="P50" t="str">
        <f>IF(Table1[[#This Row],[Change_in_Net_Daily_Intake]]&gt;0,"Sustained Positive","Negative")</f>
        <v>Sustained Positive</v>
      </c>
      <c r="Q50" s="1">
        <f>(Table1[[#This Row],[Total_System_Load]]-Table1[[#This Row],[Total_Children_Under_Care]])/Table1[[#This Row],[Total_Children_Under_Care]]*100</f>
        <v>6.3260340632603409</v>
      </c>
      <c r="R50" s="1">
        <f>(Table1[[#This Row],[Children_discharged _from_HHS_ Care]]/Table1[[#This Row],[Children_transferred_out_of_CBP_custody]])</f>
        <v>1.8633093525179856</v>
      </c>
    </row>
    <row r="51" spans="1:18" x14ac:dyDescent="0.3">
      <c r="A51">
        <v>50</v>
      </c>
      <c r="B51" s="7">
        <v>45021</v>
      </c>
      <c r="C51" s="5">
        <v>148</v>
      </c>
      <c r="D51" s="5">
        <v>245</v>
      </c>
      <c r="E51" s="5">
        <v>175</v>
      </c>
      <c r="F51" s="5">
        <v>8175</v>
      </c>
      <c r="G51" s="5">
        <v>260</v>
      </c>
      <c r="H51" t="str">
        <f t="shared" si="1"/>
        <v>Valid</v>
      </c>
      <c r="I51" t="str">
        <f t="shared" si="2"/>
        <v>Valid</v>
      </c>
      <c r="J51" s="5">
        <f t="shared" si="3"/>
        <v>7915</v>
      </c>
      <c r="K51" s="5">
        <f t="shared" si="4"/>
        <v>8420</v>
      </c>
      <c r="L51" s="5">
        <f>IF(Table1[[#This Row],[Total_System_Load]]&gt;80%*AVERAGE(Table1[Total_System_Load]),Table1[[#This Row],[Total_System_Load]]-Table1[[#This Row],[Total_Children_Under_Care]],0)</f>
        <v>505</v>
      </c>
      <c r="M51" s="5">
        <f t="shared" si="0"/>
        <v>-85</v>
      </c>
      <c r="N51" s="5">
        <f>M52-Table1[[#This Row],[Net_Daily_Intake]]</f>
        <v>11</v>
      </c>
      <c r="O51" s="5">
        <f>M52-Table1[[#This Row],[Net_Daily_Intake]]/Table1[[#This Row],[Net_Daily_Intake]]</f>
        <v>-75</v>
      </c>
      <c r="P51" t="str">
        <f>IF(Table1[[#This Row],[Change_in_Net_Daily_Intake]]&gt;0,"Sustained Positive","Negative")</f>
        <v>Sustained Positive</v>
      </c>
      <c r="Q51" s="1">
        <f>(Table1[[#This Row],[Total_System_Load]]-Table1[[#This Row],[Total_Children_Under_Care]])/Table1[[#This Row],[Total_Children_Under_Care]]*100</f>
        <v>6.3802905874921034</v>
      </c>
      <c r="R51" s="1">
        <f>(Table1[[#This Row],[Children_discharged _from_HHS_ Care]]/Table1[[#This Row],[Children_transferred_out_of_CBP_custody]])</f>
        <v>1.4857142857142858</v>
      </c>
    </row>
    <row r="52" spans="1:18" x14ac:dyDescent="0.3">
      <c r="A52">
        <v>51</v>
      </c>
      <c r="B52" s="7">
        <v>45022</v>
      </c>
      <c r="C52" s="5">
        <v>119</v>
      </c>
      <c r="D52" s="5">
        <v>219</v>
      </c>
      <c r="E52" s="5">
        <v>210</v>
      </c>
      <c r="F52" s="5">
        <v>8178</v>
      </c>
      <c r="G52" s="5">
        <v>284</v>
      </c>
      <c r="H52" t="str">
        <f t="shared" si="1"/>
        <v>Valid</v>
      </c>
      <c r="I52" t="str">
        <f t="shared" si="2"/>
        <v>Valid</v>
      </c>
      <c r="J52" s="5">
        <f t="shared" si="3"/>
        <v>7894</v>
      </c>
      <c r="K52" s="5">
        <f t="shared" si="4"/>
        <v>8397</v>
      </c>
      <c r="L52" s="5">
        <f>IF(Table1[[#This Row],[Total_System_Load]]&gt;80%*AVERAGE(Table1[Total_System_Load]),Table1[[#This Row],[Total_System_Load]]-Table1[[#This Row],[Total_Children_Under_Care]],0)</f>
        <v>503</v>
      </c>
      <c r="M52" s="5">
        <f t="shared" si="0"/>
        <v>-74</v>
      </c>
      <c r="N52" s="5">
        <f>M53-Table1[[#This Row],[Net_Daily_Intake]]</f>
        <v>-106</v>
      </c>
      <c r="O52" s="5">
        <f>M53-Table1[[#This Row],[Net_Daily_Intake]]/Table1[[#This Row],[Net_Daily_Intake]]</f>
        <v>-181</v>
      </c>
      <c r="P52" t="str">
        <f>IF(Table1[[#This Row],[Change_in_Net_Daily_Intake]]&gt;0,"Sustained Positive","Negative")</f>
        <v>Negative</v>
      </c>
      <c r="Q52" s="1">
        <f>(Table1[[#This Row],[Total_System_Load]]-Table1[[#This Row],[Total_Children_Under_Care]])/Table1[[#This Row],[Total_Children_Under_Care]]*100</f>
        <v>6.3719280466176835</v>
      </c>
      <c r="R52" s="1">
        <f>(Table1[[#This Row],[Children_discharged _from_HHS_ Care]]/Table1[[#This Row],[Children_transferred_out_of_CBP_custody]])</f>
        <v>1.3523809523809525</v>
      </c>
    </row>
    <row r="53" spans="1:18" x14ac:dyDescent="0.3">
      <c r="A53">
        <v>52</v>
      </c>
      <c r="B53" s="7">
        <v>45025</v>
      </c>
      <c r="C53" s="5">
        <v>105</v>
      </c>
      <c r="D53" s="5">
        <v>210</v>
      </c>
      <c r="E53" s="5">
        <v>149</v>
      </c>
      <c r="F53" s="5">
        <v>7900</v>
      </c>
      <c r="G53" s="5">
        <v>329</v>
      </c>
      <c r="H53" t="str">
        <f t="shared" si="1"/>
        <v>Valid</v>
      </c>
      <c r="I53" t="str">
        <f t="shared" si="2"/>
        <v>Valid</v>
      </c>
      <c r="J53" s="5">
        <f t="shared" si="3"/>
        <v>7571</v>
      </c>
      <c r="K53" s="5">
        <f t="shared" si="4"/>
        <v>8110</v>
      </c>
      <c r="L53" s="5">
        <f>IF(Table1[[#This Row],[Total_System_Load]]&gt;80%*AVERAGE(Table1[Total_System_Load]),Table1[[#This Row],[Total_System_Load]]-Table1[[#This Row],[Total_Children_Under_Care]],0)</f>
        <v>539</v>
      </c>
      <c r="M53" s="5">
        <f t="shared" si="0"/>
        <v>-180</v>
      </c>
      <c r="N53" s="5">
        <f>M54-Table1[[#This Row],[Net_Daily_Intake]]</f>
        <v>78</v>
      </c>
      <c r="O53" s="5">
        <f>M54-Table1[[#This Row],[Net_Daily_Intake]]/Table1[[#This Row],[Net_Daily_Intake]]</f>
        <v>-103</v>
      </c>
      <c r="P53" t="str">
        <f>IF(Table1[[#This Row],[Change_in_Net_Daily_Intake]]&gt;0,"Sustained Positive","Negative")</f>
        <v>Sustained Positive</v>
      </c>
      <c r="Q53" s="1">
        <f>(Table1[[#This Row],[Total_System_Load]]-Table1[[#This Row],[Total_Children_Under_Care]])/Table1[[#This Row],[Total_Children_Under_Care]]*100</f>
        <v>7.1192709021265355</v>
      </c>
      <c r="R53" s="1">
        <f>(Table1[[#This Row],[Children_discharged _from_HHS_ Care]]/Table1[[#This Row],[Children_transferred_out_of_CBP_custody]])</f>
        <v>2.2080536912751678</v>
      </c>
    </row>
    <row r="54" spans="1:18" x14ac:dyDescent="0.3">
      <c r="A54">
        <v>53</v>
      </c>
      <c r="B54" s="7">
        <v>45026</v>
      </c>
      <c r="C54" s="5">
        <v>143</v>
      </c>
      <c r="D54" s="5">
        <v>203</v>
      </c>
      <c r="E54" s="5">
        <v>163</v>
      </c>
      <c r="F54" s="5">
        <v>7826</v>
      </c>
      <c r="G54" s="5">
        <v>265</v>
      </c>
      <c r="H54" t="str">
        <f t="shared" si="1"/>
        <v>Valid</v>
      </c>
      <c r="I54" t="str">
        <f t="shared" si="2"/>
        <v>Valid</v>
      </c>
      <c r="J54" s="5">
        <f t="shared" si="3"/>
        <v>7561</v>
      </c>
      <c r="K54" s="5">
        <f t="shared" si="4"/>
        <v>8029</v>
      </c>
      <c r="L54" s="5">
        <f>IF(Table1[[#This Row],[Total_System_Load]]&gt;80%*AVERAGE(Table1[Total_System_Load]),Table1[[#This Row],[Total_System_Load]]-Table1[[#This Row],[Total_Children_Under_Care]],0)</f>
        <v>468</v>
      </c>
      <c r="M54" s="5">
        <f t="shared" si="0"/>
        <v>-102</v>
      </c>
      <c r="N54" s="5">
        <f>M55-Table1[[#This Row],[Net_Daily_Intake]]</f>
        <v>67</v>
      </c>
      <c r="O54" s="5">
        <f>M55-Table1[[#This Row],[Net_Daily_Intake]]/Table1[[#This Row],[Net_Daily_Intake]]</f>
        <v>-36</v>
      </c>
      <c r="P54" t="str">
        <f>IF(Table1[[#This Row],[Change_in_Net_Daily_Intake]]&gt;0,"Sustained Positive","Negative")</f>
        <v>Sustained Positive</v>
      </c>
      <c r="Q54" s="1">
        <f>(Table1[[#This Row],[Total_System_Load]]-Table1[[#This Row],[Total_Children_Under_Care]])/Table1[[#This Row],[Total_Children_Under_Care]]*100</f>
        <v>6.1896574527178938</v>
      </c>
      <c r="R54" s="1">
        <f>(Table1[[#This Row],[Children_discharged _from_HHS_ Care]]/Table1[[#This Row],[Children_transferred_out_of_CBP_custody]])</f>
        <v>1.6257668711656441</v>
      </c>
    </row>
    <row r="55" spans="1:18" x14ac:dyDescent="0.3">
      <c r="A55">
        <v>54</v>
      </c>
      <c r="B55" s="7">
        <v>45027</v>
      </c>
      <c r="C55" s="5">
        <v>119</v>
      </c>
      <c r="D55" s="5">
        <v>209</v>
      </c>
      <c r="E55" s="5">
        <v>152</v>
      </c>
      <c r="F55" s="5">
        <v>7922</v>
      </c>
      <c r="G55" s="5">
        <v>187</v>
      </c>
      <c r="H55" t="str">
        <f t="shared" si="1"/>
        <v>Valid</v>
      </c>
      <c r="I55" t="str">
        <f t="shared" si="2"/>
        <v>Valid</v>
      </c>
      <c r="J55" s="5">
        <f t="shared" si="3"/>
        <v>7735</v>
      </c>
      <c r="K55" s="5">
        <f t="shared" si="4"/>
        <v>8131</v>
      </c>
      <c r="L55" s="5">
        <f>IF(Table1[[#This Row],[Total_System_Load]]&gt;80%*AVERAGE(Table1[Total_System_Load]),Table1[[#This Row],[Total_System_Load]]-Table1[[#This Row],[Total_Children_Under_Care]],0)</f>
        <v>396</v>
      </c>
      <c r="M55" s="5">
        <f t="shared" si="0"/>
        <v>-35</v>
      </c>
      <c r="N55" s="5">
        <f>M56-Table1[[#This Row],[Net_Daily_Intake]]</f>
        <v>-67</v>
      </c>
      <c r="O55" s="5">
        <f>M56-Table1[[#This Row],[Net_Daily_Intake]]/Table1[[#This Row],[Net_Daily_Intake]]</f>
        <v>-103</v>
      </c>
      <c r="P55" t="str">
        <f>IF(Table1[[#This Row],[Change_in_Net_Daily_Intake]]&gt;0,"Sustained Positive","Negative")</f>
        <v>Negative</v>
      </c>
      <c r="Q55" s="1">
        <f>(Table1[[#This Row],[Total_System_Load]]-Table1[[#This Row],[Total_Children_Under_Care]])/Table1[[#This Row],[Total_Children_Under_Care]]*100</f>
        <v>5.1195862960568839</v>
      </c>
      <c r="R55" s="1">
        <f>(Table1[[#This Row],[Children_discharged _from_HHS_ Care]]/Table1[[#This Row],[Children_transferred_out_of_CBP_custody]])</f>
        <v>1.2302631578947369</v>
      </c>
    </row>
    <row r="56" spans="1:18" x14ac:dyDescent="0.3">
      <c r="A56">
        <v>55</v>
      </c>
      <c r="B56" s="7">
        <v>45028</v>
      </c>
      <c r="C56" s="5">
        <v>155</v>
      </c>
      <c r="D56" s="5">
        <v>212</v>
      </c>
      <c r="E56" s="5">
        <v>181</v>
      </c>
      <c r="F56" s="5">
        <v>7876</v>
      </c>
      <c r="G56" s="5">
        <v>283</v>
      </c>
      <c r="H56" t="str">
        <f t="shared" si="1"/>
        <v>Valid</v>
      </c>
      <c r="I56" t="str">
        <f t="shared" si="2"/>
        <v>Valid</v>
      </c>
      <c r="J56" s="5">
        <f t="shared" si="3"/>
        <v>7593</v>
      </c>
      <c r="K56" s="5">
        <f t="shared" si="4"/>
        <v>8088</v>
      </c>
      <c r="L56" s="5">
        <f>IF(Table1[[#This Row],[Total_System_Load]]&gt;80%*AVERAGE(Table1[Total_System_Load]),Table1[[#This Row],[Total_System_Load]]-Table1[[#This Row],[Total_Children_Under_Care]],0)</f>
        <v>495</v>
      </c>
      <c r="M56" s="5">
        <f t="shared" si="0"/>
        <v>-102</v>
      </c>
      <c r="N56" s="5">
        <f>M57-Table1[[#This Row],[Net_Daily_Intake]]</f>
        <v>-95</v>
      </c>
      <c r="O56" s="5">
        <f>M57-Table1[[#This Row],[Net_Daily_Intake]]/Table1[[#This Row],[Net_Daily_Intake]]</f>
        <v>-198</v>
      </c>
      <c r="P56" t="str">
        <f>IF(Table1[[#This Row],[Change_in_Net_Daily_Intake]]&gt;0,"Sustained Positive","Negative")</f>
        <v>Negative</v>
      </c>
      <c r="Q56" s="1">
        <f>(Table1[[#This Row],[Total_System_Load]]-Table1[[#This Row],[Total_Children_Under_Care]])/Table1[[#This Row],[Total_Children_Under_Care]]*100</f>
        <v>6.5191623864085333</v>
      </c>
      <c r="R56" s="1">
        <f>(Table1[[#This Row],[Children_discharged _from_HHS_ Care]]/Table1[[#This Row],[Children_transferred_out_of_CBP_custody]])</f>
        <v>1.5635359116022098</v>
      </c>
    </row>
    <row r="57" spans="1:18" x14ac:dyDescent="0.3">
      <c r="A57">
        <v>56</v>
      </c>
      <c r="B57" s="7">
        <v>45029</v>
      </c>
      <c r="C57" s="5">
        <v>109</v>
      </c>
      <c r="D57" s="5">
        <v>214</v>
      </c>
      <c r="E57" s="5">
        <v>173</v>
      </c>
      <c r="F57" s="5">
        <v>7795</v>
      </c>
      <c r="G57" s="5">
        <v>370</v>
      </c>
      <c r="H57" t="str">
        <f t="shared" si="1"/>
        <v>Valid</v>
      </c>
      <c r="I57" t="str">
        <f t="shared" si="2"/>
        <v>Valid</v>
      </c>
      <c r="J57" s="5">
        <f t="shared" si="3"/>
        <v>7425</v>
      </c>
      <c r="K57" s="5">
        <f t="shared" si="4"/>
        <v>8009</v>
      </c>
      <c r="L57" s="5">
        <f>IF(Table1[[#This Row],[Total_System_Load]]&gt;80%*AVERAGE(Table1[Total_System_Load]),Table1[[#This Row],[Total_System_Load]]-Table1[[#This Row],[Total_Children_Under_Care]],0)</f>
        <v>584</v>
      </c>
      <c r="M57" s="5">
        <f t="shared" si="0"/>
        <v>-197</v>
      </c>
      <c r="N57" s="5">
        <f>M58-Table1[[#This Row],[Net_Daily_Intake]]</f>
        <v>117</v>
      </c>
      <c r="O57" s="5">
        <f>M58-Table1[[#This Row],[Net_Daily_Intake]]/Table1[[#This Row],[Net_Daily_Intake]]</f>
        <v>-81</v>
      </c>
      <c r="P57" t="str">
        <f>IF(Table1[[#This Row],[Change_in_Net_Daily_Intake]]&gt;0,"Sustained Positive","Negative")</f>
        <v>Sustained Positive</v>
      </c>
      <c r="Q57" s="1">
        <f>(Table1[[#This Row],[Total_System_Load]]-Table1[[#This Row],[Total_Children_Under_Care]])/Table1[[#This Row],[Total_Children_Under_Care]]*100</f>
        <v>7.8653198653198659</v>
      </c>
      <c r="R57" s="1">
        <f>(Table1[[#This Row],[Children_discharged _from_HHS_ Care]]/Table1[[#This Row],[Children_transferred_out_of_CBP_custody]])</f>
        <v>2.1387283236994219</v>
      </c>
    </row>
    <row r="58" spans="1:18" x14ac:dyDescent="0.3">
      <c r="A58">
        <v>57</v>
      </c>
      <c r="B58" s="7">
        <v>45032</v>
      </c>
      <c r="C58" s="5">
        <v>191</v>
      </c>
      <c r="D58" s="5">
        <v>283</v>
      </c>
      <c r="E58" s="5">
        <v>192</v>
      </c>
      <c r="F58" s="5">
        <v>7380</v>
      </c>
      <c r="G58" s="5">
        <v>272</v>
      </c>
      <c r="H58" t="str">
        <f t="shared" si="1"/>
        <v>Valid</v>
      </c>
      <c r="I58" t="str">
        <f t="shared" si="2"/>
        <v>Valid</v>
      </c>
      <c r="J58" s="5">
        <f t="shared" si="3"/>
        <v>7108</v>
      </c>
      <c r="K58" s="5">
        <f t="shared" si="4"/>
        <v>7663</v>
      </c>
      <c r="L58" s="5">
        <f>IF(Table1[[#This Row],[Total_System_Load]]&gt;80%*AVERAGE(Table1[Total_System_Load]),Table1[[#This Row],[Total_System_Load]]-Table1[[#This Row],[Total_Children_Under_Care]],0)</f>
        <v>555</v>
      </c>
      <c r="M58" s="5">
        <f t="shared" si="0"/>
        <v>-80</v>
      </c>
      <c r="N58" s="5">
        <f>M59-Table1[[#This Row],[Net_Daily_Intake]]</f>
        <v>28</v>
      </c>
      <c r="O58" s="5">
        <f>M59-Table1[[#This Row],[Net_Daily_Intake]]/Table1[[#This Row],[Net_Daily_Intake]]</f>
        <v>-53</v>
      </c>
      <c r="P58" t="str">
        <f>IF(Table1[[#This Row],[Change_in_Net_Daily_Intake]]&gt;0,"Sustained Positive","Negative")</f>
        <v>Sustained Positive</v>
      </c>
      <c r="Q58" s="1">
        <f>(Table1[[#This Row],[Total_System_Load]]-Table1[[#This Row],[Total_Children_Under_Care]])/Table1[[#This Row],[Total_Children_Under_Care]]*100</f>
        <v>7.8081035453010692</v>
      </c>
      <c r="R58" s="1">
        <f>(Table1[[#This Row],[Children_discharged _from_HHS_ Care]]/Table1[[#This Row],[Children_transferred_out_of_CBP_custody]])</f>
        <v>1.4166666666666667</v>
      </c>
    </row>
    <row r="59" spans="1:18" x14ac:dyDescent="0.3">
      <c r="A59">
        <v>58</v>
      </c>
      <c r="B59" s="7">
        <v>45033</v>
      </c>
      <c r="C59" s="5">
        <v>170</v>
      </c>
      <c r="D59" s="5">
        <v>297</v>
      </c>
      <c r="E59" s="5">
        <v>196</v>
      </c>
      <c r="F59" s="5">
        <v>7344</v>
      </c>
      <c r="G59" s="5">
        <v>248</v>
      </c>
      <c r="H59" t="str">
        <f t="shared" si="1"/>
        <v>Valid</v>
      </c>
      <c r="I59" t="str">
        <f t="shared" si="2"/>
        <v>Valid</v>
      </c>
      <c r="J59" s="5">
        <f t="shared" si="3"/>
        <v>7096</v>
      </c>
      <c r="K59" s="5">
        <f t="shared" si="4"/>
        <v>7641</v>
      </c>
      <c r="L59" s="5">
        <f>IF(Table1[[#This Row],[Total_System_Load]]&gt;80%*AVERAGE(Table1[Total_System_Load]),Table1[[#This Row],[Total_System_Load]]-Table1[[#This Row],[Total_Children_Under_Care]],0)</f>
        <v>545</v>
      </c>
      <c r="M59" s="5">
        <f t="shared" si="0"/>
        <v>-52</v>
      </c>
      <c r="N59" s="5">
        <f>M60-Table1[[#This Row],[Net_Daily_Intake]]</f>
        <v>32</v>
      </c>
      <c r="O59" s="5">
        <f>M60-Table1[[#This Row],[Net_Daily_Intake]]/Table1[[#This Row],[Net_Daily_Intake]]</f>
        <v>-21</v>
      </c>
      <c r="P59" t="str">
        <f>IF(Table1[[#This Row],[Change_in_Net_Daily_Intake]]&gt;0,"Sustained Positive","Negative")</f>
        <v>Sustained Positive</v>
      </c>
      <c r="Q59" s="1">
        <f>(Table1[[#This Row],[Total_System_Load]]-Table1[[#This Row],[Total_Children_Under_Care]])/Table1[[#This Row],[Total_Children_Under_Care]]*100</f>
        <v>7.6803833145434037</v>
      </c>
      <c r="R59" s="1">
        <f>(Table1[[#This Row],[Children_discharged _from_HHS_ Care]]/Table1[[#This Row],[Children_transferred_out_of_CBP_custody]])</f>
        <v>1.2653061224489797</v>
      </c>
    </row>
    <row r="60" spans="1:18" x14ac:dyDescent="0.3">
      <c r="A60">
        <v>59</v>
      </c>
      <c r="B60" s="7">
        <v>45034</v>
      </c>
      <c r="C60" s="5">
        <v>152</v>
      </c>
      <c r="D60" s="5">
        <v>272</v>
      </c>
      <c r="E60" s="5">
        <v>214</v>
      </c>
      <c r="F60" s="5">
        <v>7376</v>
      </c>
      <c r="G60" s="5">
        <v>234</v>
      </c>
      <c r="H60" t="str">
        <f t="shared" si="1"/>
        <v>Valid</v>
      </c>
      <c r="I60" t="str">
        <f t="shared" si="2"/>
        <v>Valid</v>
      </c>
      <c r="J60" s="5">
        <f t="shared" si="3"/>
        <v>7142</v>
      </c>
      <c r="K60" s="5">
        <f t="shared" si="4"/>
        <v>7648</v>
      </c>
      <c r="L60" s="5">
        <f>IF(Table1[[#This Row],[Total_System_Load]]&gt;80%*AVERAGE(Table1[Total_System_Load]),Table1[[#This Row],[Total_System_Load]]-Table1[[#This Row],[Total_Children_Under_Care]],0)</f>
        <v>506</v>
      </c>
      <c r="M60" s="5">
        <f t="shared" si="0"/>
        <v>-20</v>
      </c>
      <c r="N60" s="5">
        <f>M61-Table1[[#This Row],[Net_Daily_Intake]]</f>
        <v>15</v>
      </c>
      <c r="O60" s="5">
        <f>M61-Table1[[#This Row],[Net_Daily_Intake]]/Table1[[#This Row],[Net_Daily_Intake]]</f>
        <v>-6</v>
      </c>
      <c r="P60" t="str">
        <f>IF(Table1[[#This Row],[Change_in_Net_Daily_Intake]]&gt;0,"Sustained Positive","Negative")</f>
        <v>Sustained Positive</v>
      </c>
      <c r="Q60" s="1">
        <f>(Table1[[#This Row],[Total_System_Load]]-Table1[[#This Row],[Total_Children_Under_Care]])/Table1[[#This Row],[Total_Children_Under_Care]]*100</f>
        <v>7.0848501820218432</v>
      </c>
      <c r="R60" s="1">
        <f>(Table1[[#This Row],[Children_discharged _from_HHS_ Care]]/Table1[[#This Row],[Children_transferred_out_of_CBP_custody]])</f>
        <v>1.0934579439252337</v>
      </c>
    </row>
    <row r="61" spans="1:18" x14ac:dyDescent="0.3">
      <c r="A61">
        <v>60</v>
      </c>
      <c r="B61" s="7">
        <v>45035</v>
      </c>
      <c r="C61" s="5">
        <v>239</v>
      </c>
      <c r="D61" s="5">
        <v>367</v>
      </c>
      <c r="E61" s="5">
        <v>224</v>
      </c>
      <c r="F61" s="5">
        <v>7356</v>
      </c>
      <c r="G61" s="5">
        <v>229</v>
      </c>
      <c r="H61" t="str">
        <f t="shared" si="1"/>
        <v>Valid</v>
      </c>
      <c r="I61" t="str">
        <f t="shared" si="2"/>
        <v>Valid</v>
      </c>
      <c r="J61" s="5">
        <f t="shared" si="3"/>
        <v>7127</v>
      </c>
      <c r="K61" s="5">
        <f t="shared" si="4"/>
        <v>7723</v>
      </c>
      <c r="L61" s="5">
        <f>IF(Table1[[#This Row],[Total_System_Load]]&gt;80%*AVERAGE(Table1[Total_System_Load]),Table1[[#This Row],[Total_System_Load]]-Table1[[#This Row],[Total_Children_Under_Care]],0)</f>
        <v>596</v>
      </c>
      <c r="M61" s="5">
        <f t="shared" si="0"/>
        <v>-5</v>
      </c>
      <c r="N61" s="5">
        <f>M62-Table1[[#This Row],[Net_Daily_Intake]]</f>
        <v>-78</v>
      </c>
      <c r="O61" s="5">
        <f>M62-Table1[[#This Row],[Net_Daily_Intake]]/Table1[[#This Row],[Net_Daily_Intake]]</f>
        <v>-84</v>
      </c>
      <c r="P61" t="str">
        <f>IF(Table1[[#This Row],[Change_in_Net_Daily_Intake]]&gt;0,"Sustained Positive","Negative")</f>
        <v>Negative</v>
      </c>
      <c r="Q61" s="1">
        <f>(Table1[[#This Row],[Total_System_Load]]-Table1[[#This Row],[Total_Children_Under_Care]])/Table1[[#This Row],[Total_Children_Under_Care]]*100</f>
        <v>8.362564894064823</v>
      </c>
      <c r="R61" s="1">
        <f>(Table1[[#This Row],[Children_discharged _from_HHS_ Care]]/Table1[[#This Row],[Children_transferred_out_of_CBP_custody]])</f>
        <v>1.0223214285714286</v>
      </c>
    </row>
    <row r="62" spans="1:18" x14ac:dyDescent="0.3">
      <c r="A62">
        <v>61</v>
      </c>
      <c r="B62" s="7">
        <v>45036</v>
      </c>
      <c r="C62" s="5">
        <v>113</v>
      </c>
      <c r="D62" s="5">
        <v>280</v>
      </c>
      <c r="E62" s="5">
        <v>237</v>
      </c>
      <c r="F62" s="5">
        <v>7490</v>
      </c>
      <c r="G62" s="5">
        <v>320</v>
      </c>
      <c r="H62" t="str">
        <f t="shared" si="1"/>
        <v>Valid</v>
      </c>
      <c r="I62" t="str">
        <f t="shared" si="2"/>
        <v>Valid</v>
      </c>
      <c r="J62" s="5">
        <f t="shared" si="3"/>
        <v>7170</v>
      </c>
      <c r="K62" s="5">
        <f t="shared" si="4"/>
        <v>7770</v>
      </c>
      <c r="L62" s="5">
        <f>IF(Table1[[#This Row],[Total_System_Load]]&gt;80%*AVERAGE(Table1[Total_System_Load]),Table1[[#This Row],[Total_System_Load]]-Table1[[#This Row],[Total_Children_Under_Care]],0)</f>
        <v>600</v>
      </c>
      <c r="M62" s="5">
        <f t="shared" si="0"/>
        <v>-83</v>
      </c>
      <c r="N62" s="5">
        <f>M63-Table1[[#This Row],[Net_Daily_Intake]]</f>
        <v>4</v>
      </c>
      <c r="O62" s="5">
        <f>M63-Table1[[#This Row],[Net_Daily_Intake]]/Table1[[#This Row],[Net_Daily_Intake]]</f>
        <v>-80</v>
      </c>
      <c r="P62" t="str">
        <f>IF(Table1[[#This Row],[Change_in_Net_Daily_Intake]]&gt;0,"Sustained Positive","Negative")</f>
        <v>Sustained Positive</v>
      </c>
      <c r="Q62" s="1">
        <f>(Table1[[#This Row],[Total_System_Load]]-Table1[[#This Row],[Total_Children_Under_Care]])/Table1[[#This Row],[Total_Children_Under_Care]]*100</f>
        <v>8.3682008368200833</v>
      </c>
      <c r="R62" s="1">
        <f>(Table1[[#This Row],[Children_discharged _from_HHS_ Care]]/Table1[[#This Row],[Children_transferred_out_of_CBP_custody]])</f>
        <v>1.350210970464135</v>
      </c>
    </row>
    <row r="63" spans="1:18" x14ac:dyDescent="0.3">
      <c r="A63">
        <v>62</v>
      </c>
      <c r="B63" s="7">
        <v>45039</v>
      </c>
      <c r="C63" s="5">
        <v>196</v>
      </c>
      <c r="D63" s="5">
        <v>306</v>
      </c>
      <c r="E63" s="5">
        <v>187</v>
      </c>
      <c r="F63" s="5">
        <v>7534</v>
      </c>
      <c r="G63" s="5">
        <v>266</v>
      </c>
      <c r="H63" t="str">
        <f t="shared" si="1"/>
        <v>Valid</v>
      </c>
      <c r="I63" t="str">
        <f t="shared" si="2"/>
        <v>Valid</v>
      </c>
      <c r="J63" s="5">
        <f t="shared" si="3"/>
        <v>7268</v>
      </c>
      <c r="K63" s="5">
        <f t="shared" si="4"/>
        <v>7840</v>
      </c>
      <c r="L63" s="5">
        <f>IF(Table1[[#This Row],[Total_System_Load]]&gt;80%*AVERAGE(Table1[Total_System_Load]),Table1[[#This Row],[Total_System_Load]]-Table1[[#This Row],[Total_Children_Under_Care]],0)</f>
        <v>572</v>
      </c>
      <c r="M63" s="5">
        <f t="shared" si="0"/>
        <v>-79</v>
      </c>
      <c r="N63" s="5">
        <f>M64-Table1[[#This Row],[Net_Daily_Intake]]</f>
        <v>88</v>
      </c>
      <c r="O63" s="5">
        <f>M64-Table1[[#This Row],[Net_Daily_Intake]]/Table1[[#This Row],[Net_Daily_Intake]]</f>
        <v>8</v>
      </c>
      <c r="P63" t="str">
        <f>IF(Table1[[#This Row],[Change_in_Net_Daily_Intake]]&gt;0,"Sustained Positive","Negative")</f>
        <v>Sustained Positive</v>
      </c>
      <c r="Q63" s="1">
        <f>(Table1[[#This Row],[Total_System_Load]]-Table1[[#This Row],[Total_Children_Under_Care]])/Table1[[#This Row],[Total_Children_Under_Care]]*100</f>
        <v>7.8701155751238305</v>
      </c>
      <c r="R63" s="1">
        <f>(Table1[[#This Row],[Children_discharged _from_HHS_ Care]]/Table1[[#This Row],[Children_transferred_out_of_CBP_custody]])</f>
        <v>1.4224598930481283</v>
      </c>
    </row>
    <row r="64" spans="1:18" x14ac:dyDescent="0.3">
      <c r="A64">
        <v>63</v>
      </c>
      <c r="B64" s="7">
        <v>45040</v>
      </c>
      <c r="C64" s="5">
        <v>236</v>
      </c>
      <c r="D64" s="5">
        <v>330</v>
      </c>
      <c r="E64" s="5">
        <v>222</v>
      </c>
      <c r="F64" s="5">
        <v>7796</v>
      </c>
      <c r="G64" s="5">
        <v>213</v>
      </c>
      <c r="H64" t="str">
        <f t="shared" si="1"/>
        <v>Valid</v>
      </c>
      <c r="I64" t="str">
        <f t="shared" si="2"/>
        <v>Valid</v>
      </c>
      <c r="J64" s="5">
        <f t="shared" si="3"/>
        <v>7583</v>
      </c>
      <c r="K64" s="5">
        <f t="shared" si="4"/>
        <v>8126</v>
      </c>
      <c r="L64" s="5">
        <f>IF(Table1[[#This Row],[Total_System_Load]]&gt;80%*AVERAGE(Table1[Total_System_Load]),Table1[[#This Row],[Total_System_Load]]-Table1[[#This Row],[Total_Children_Under_Care]],0)</f>
        <v>543</v>
      </c>
      <c r="M64" s="5">
        <f t="shared" si="0"/>
        <v>9</v>
      </c>
      <c r="N64" s="5">
        <f>M65-Table1[[#This Row],[Net_Daily_Intake]]</f>
        <v>31</v>
      </c>
      <c r="O64" s="5">
        <f>M65-Table1[[#This Row],[Net_Daily_Intake]]/Table1[[#This Row],[Net_Daily_Intake]]</f>
        <v>39</v>
      </c>
      <c r="P64" t="str">
        <f>IF(Table1[[#This Row],[Change_in_Net_Daily_Intake]]&gt;0,"Sustained Positive","Negative")</f>
        <v>Sustained Positive</v>
      </c>
      <c r="Q64" s="1">
        <f>(Table1[[#This Row],[Total_System_Load]]-Table1[[#This Row],[Total_Children_Under_Care]])/Table1[[#This Row],[Total_Children_Under_Care]]*100</f>
        <v>7.1607543188711595</v>
      </c>
      <c r="R64" s="1">
        <f>(Table1[[#This Row],[Children_discharged _from_HHS_ Care]]/Table1[[#This Row],[Children_transferred_out_of_CBP_custody]])</f>
        <v>0.95945945945945943</v>
      </c>
    </row>
    <row r="65" spans="1:18" x14ac:dyDescent="0.3">
      <c r="A65">
        <v>64</v>
      </c>
      <c r="B65" s="7">
        <v>45041</v>
      </c>
      <c r="C65" s="5">
        <v>81</v>
      </c>
      <c r="D65" s="5">
        <v>230</v>
      </c>
      <c r="E65" s="5">
        <v>242</v>
      </c>
      <c r="F65" s="5">
        <v>8017</v>
      </c>
      <c r="G65" s="5">
        <v>202</v>
      </c>
      <c r="H65" t="str">
        <f t="shared" si="1"/>
        <v>Invalid</v>
      </c>
      <c r="I65" t="str">
        <f t="shared" si="2"/>
        <v>Valid</v>
      </c>
      <c r="J65" s="5">
        <f t="shared" si="3"/>
        <v>7815</v>
      </c>
      <c r="K65" s="5">
        <f t="shared" si="4"/>
        <v>8247</v>
      </c>
      <c r="L65" s="5">
        <f>IF(Table1[[#This Row],[Total_System_Load]]&gt;80%*AVERAGE(Table1[Total_System_Load]),Table1[[#This Row],[Total_System_Load]]-Table1[[#This Row],[Total_Children_Under_Care]],0)</f>
        <v>432</v>
      </c>
      <c r="M65" s="5">
        <f t="shared" si="0"/>
        <v>40</v>
      </c>
      <c r="N65" s="5">
        <f>M66-Table1[[#This Row],[Net_Daily_Intake]]</f>
        <v>-136</v>
      </c>
      <c r="O65" s="5">
        <f>M66-Table1[[#This Row],[Net_Daily_Intake]]/Table1[[#This Row],[Net_Daily_Intake]]</f>
        <v>-97</v>
      </c>
      <c r="P65" t="str">
        <f>IF(Table1[[#This Row],[Change_in_Net_Daily_Intake]]&gt;0,"Sustained Positive","Negative")</f>
        <v>Negative</v>
      </c>
      <c r="Q65" s="1">
        <f>(Table1[[#This Row],[Total_System_Load]]-Table1[[#This Row],[Total_Children_Under_Care]])/Table1[[#This Row],[Total_Children_Under_Care]]*100</f>
        <v>5.5278310940499038</v>
      </c>
      <c r="R65" s="1">
        <f>(Table1[[#This Row],[Children_discharged _from_HHS_ Care]]/Table1[[#This Row],[Children_transferred_out_of_CBP_custody]])</f>
        <v>0.83471074380165289</v>
      </c>
    </row>
    <row r="66" spans="1:18" x14ac:dyDescent="0.3">
      <c r="A66">
        <v>65</v>
      </c>
      <c r="B66" s="7">
        <v>45042</v>
      </c>
      <c r="C66" s="5">
        <v>118</v>
      </c>
      <c r="D66" s="5">
        <v>245</v>
      </c>
      <c r="E66" s="5">
        <v>160</v>
      </c>
      <c r="F66" s="5">
        <v>8117</v>
      </c>
      <c r="G66" s="5">
        <v>256</v>
      </c>
      <c r="H66" t="str">
        <f t="shared" si="1"/>
        <v>Valid</v>
      </c>
      <c r="I66" t="str">
        <f t="shared" si="2"/>
        <v>Valid</v>
      </c>
      <c r="J66" s="5">
        <f t="shared" si="3"/>
        <v>7861</v>
      </c>
      <c r="K66" s="5">
        <f t="shared" si="4"/>
        <v>8362</v>
      </c>
      <c r="L66" s="5">
        <f>IF(Table1[[#This Row],[Total_System_Load]]&gt;80%*AVERAGE(Table1[Total_System_Load]),Table1[[#This Row],[Total_System_Load]]-Table1[[#This Row],[Total_Children_Under_Care]],0)</f>
        <v>501</v>
      </c>
      <c r="M66" s="5">
        <f t="shared" ref="M66:M129" si="5">E66-G66</f>
        <v>-96</v>
      </c>
      <c r="N66" s="5">
        <f>M67-Table1[[#This Row],[Net_Daily_Intake]]</f>
        <v>-6</v>
      </c>
      <c r="O66" s="5">
        <f>M67-Table1[[#This Row],[Net_Daily_Intake]]/Table1[[#This Row],[Net_Daily_Intake]]</f>
        <v>-103</v>
      </c>
      <c r="P66" t="str">
        <f>IF(Table1[[#This Row],[Change_in_Net_Daily_Intake]]&gt;0,"Sustained Positive","Negative")</f>
        <v>Negative</v>
      </c>
      <c r="Q66" s="1">
        <f>(Table1[[#This Row],[Total_System_Load]]-Table1[[#This Row],[Total_Children_Under_Care]])/Table1[[#This Row],[Total_Children_Under_Care]]*100</f>
        <v>6.3732349573845566</v>
      </c>
      <c r="R66" s="1">
        <f>(Table1[[#This Row],[Children_discharged _from_HHS_ Care]]/Table1[[#This Row],[Children_transferred_out_of_CBP_custody]])</f>
        <v>1.6</v>
      </c>
    </row>
    <row r="67" spans="1:18" x14ac:dyDescent="0.3">
      <c r="A67">
        <v>66</v>
      </c>
      <c r="B67" s="7">
        <v>45043</v>
      </c>
      <c r="C67" s="5">
        <v>218</v>
      </c>
      <c r="D67" s="5">
        <v>283</v>
      </c>
      <c r="E67" s="5">
        <v>208</v>
      </c>
      <c r="F67" s="5">
        <v>8159</v>
      </c>
      <c r="G67" s="5">
        <v>310</v>
      </c>
      <c r="H67" t="str">
        <f t="shared" ref="H67:H130" si="6">IF(E67&lt;=D67,"Valid","Invalid")</f>
        <v>Valid</v>
      </c>
      <c r="I67" t="str">
        <f t="shared" ref="I67:I130" si="7">IF(G67&lt;=F67,"Valid","Invalid")</f>
        <v>Valid</v>
      </c>
      <c r="J67" s="5">
        <f t="shared" ref="J67:J130" si="8">F67-G67</f>
        <v>7849</v>
      </c>
      <c r="K67" s="5">
        <f t="shared" ref="K67:K130" si="9">D67+F67</f>
        <v>8442</v>
      </c>
      <c r="L67" s="5">
        <f>IF(Table1[[#This Row],[Total_System_Load]]&gt;80%*AVERAGE(Table1[Total_System_Load]),Table1[[#This Row],[Total_System_Load]]-Table1[[#This Row],[Total_Children_Under_Care]],0)</f>
        <v>593</v>
      </c>
      <c r="M67" s="5">
        <f t="shared" si="5"/>
        <v>-102</v>
      </c>
      <c r="N67" s="5">
        <f>M68-Table1[[#This Row],[Net_Daily_Intake]]</f>
        <v>-8</v>
      </c>
      <c r="O67" s="5">
        <f>M68-Table1[[#This Row],[Net_Daily_Intake]]/Table1[[#This Row],[Net_Daily_Intake]]</f>
        <v>-111</v>
      </c>
      <c r="P67" t="str">
        <f>IF(Table1[[#This Row],[Change_in_Net_Daily_Intake]]&gt;0,"Sustained Positive","Negative")</f>
        <v>Negative</v>
      </c>
      <c r="Q67" s="1">
        <f>(Table1[[#This Row],[Total_System_Load]]-Table1[[#This Row],[Total_Children_Under_Care]])/Table1[[#This Row],[Total_Children_Under_Care]]*100</f>
        <v>7.5551025608357749</v>
      </c>
      <c r="R67" s="1">
        <f>(Table1[[#This Row],[Children_discharged _from_HHS_ Care]]/Table1[[#This Row],[Children_transferred_out_of_CBP_custody]])</f>
        <v>1.4903846153846154</v>
      </c>
    </row>
    <row r="68" spans="1:18" x14ac:dyDescent="0.3">
      <c r="A68">
        <v>67</v>
      </c>
      <c r="B68" s="7">
        <v>45046</v>
      </c>
      <c r="C68" s="5">
        <v>132</v>
      </c>
      <c r="D68" s="5">
        <v>243</v>
      </c>
      <c r="E68" s="5">
        <v>183</v>
      </c>
      <c r="F68" s="5">
        <v>8352</v>
      </c>
      <c r="G68" s="5">
        <v>293</v>
      </c>
      <c r="H68" t="str">
        <f t="shared" si="6"/>
        <v>Valid</v>
      </c>
      <c r="I68" t="str">
        <f t="shared" si="7"/>
        <v>Valid</v>
      </c>
      <c r="J68" s="5">
        <f t="shared" si="8"/>
        <v>8059</v>
      </c>
      <c r="K68" s="5">
        <f t="shared" si="9"/>
        <v>8595</v>
      </c>
      <c r="L68" s="5">
        <f>IF(Table1[[#This Row],[Total_System_Load]]&gt;80%*AVERAGE(Table1[Total_System_Load]),Table1[[#This Row],[Total_System_Load]]-Table1[[#This Row],[Total_Children_Under_Care]],0)</f>
        <v>536</v>
      </c>
      <c r="M68" s="5">
        <f t="shared" si="5"/>
        <v>-110</v>
      </c>
      <c r="N68" s="5">
        <f>M69-Table1[[#This Row],[Net_Daily_Intake]]</f>
        <v>25</v>
      </c>
      <c r="O68" s="5">
        <f>M69-Table1[[#This Row],[Net_Daily_Intake]]/Table1[[#This Row],[Net_Daily_Intake]]</f>
        <v>-86</v>
      </c>
      <c r="P68" t="str">
        <f>IF(Table1[[#This Row],[Change_in_Net_Daily_Intake]]&gt;0,"Sustained Positive","Negative")</f>
        <v>Sustained Positive</v>
      </c>
      <c r="Q68" s="1">
        <f>(Table1[[#This Row],[Total_System_Load]]-Table1[[#This Row],[Total_Children_Under_Care]])/Table1[[#This Row],[Total_Children_Under_Care]]*100</f>
        <v>6.6509492492865112</v>
      </c>
      <c r="R68" s="1">
        <f>(Table1[[#This Row],[Children_discharged _from_HHS_ Care]]/Table1[[#This Row],[Children_transferred_out_of_CBP_custody]])</f>
        <v>1.6010928961748634</v>
      </c>
    </row>
    <row r="69" spans="1:18" x14ac:dyDescent="0.3">
      <c r="A69">
        <v>68</v>
      </c>
      <c r="B69" s="7">
        <v>45047</v>
      </c>
      <c r="C69" s="5">
        <v>224</v>
      </c>
      <c r="D69" s="5">
        <v>315</v>
      </c>
      <c r="E69" s="5">
        <v>152</v>
      </c>
      <c r="F69" s="5">
        <v>8492</v>
      </c>
      <c r="G69" s="5">
        <v>237</v>
      </c>
      <c r="H69" t="str">
        <f t="shared" si="6"/>
        <v>Valid</v>
      </c>
      <c r="I69" t="str">
        <f t="shared" si="7"/>
        <v>Valid</v>
      </c>
      <c r="J69" s="5">
        <f t="shared" si="8"/>
        <v>8255</v>
      </c>
      <c r="K69" s="5">
        <f t="shared" si="9"/>
        <v>8807</v>
      </c>
      <c r="L69" s="5">
        <f>IF(Table1[[#This Row],[Total_System_Load]]&gt;80%*AVERAGE(Table1[Total_System_Load]),Table1[[#This Row],[Total_System_Load]]-Table1[[#This Row],[Total_Children_Under_Care]],0)</f>
        <v>552</v>
      </c>
      <c r="M69" s="5">
        <f t="shared" si="5"/>
        <v>-85</v>
      </c>
      <c r="N69" s="5">
        <f>M70-Table1[[#This Row],[Net_Daily_Intake]]</f>
        <v>53</v>
      </c>
      <c r="O69" s="5">
        <f>M70-Table1[[#This Row],[Net_Daily_Intake]]/Table1[[#This Row],[Net_Daily_Intake]]</f>
        <v>-33</v>
      </c>
      <c r="P69" t="str">
        <f>IF(Table1[[#This Row],[Change_in_Net_Daily_Intake]]&gt;0,"Sustained Positive","Negative")</f>
        <v>Sustained Positive</v>
      </c>
      <c r="Q69" s="1">
        <f>(Table1[[#This Row],[Total_System_Load]]-Table1[[#This Row],[Total_Children_Under_Care]])/Table1[[#This Row],[Total_Children_Under_Care]]*100</f>
        <v>6.686856450635978</v>
      </c>
      <c r="R69" s="1">
        <f>(Table1[[#This Row],[Children_discharged _from_HHS_ Care]]/Table1[[#This Row],[Children_transferred_out_of_CBP_custody]])</f>
        <v>1.5592105263157894</v>
      </c>
    </row>
    <row r="70" spans="1:18" x14ac:dyDescent="0.3">
      <c r="A70">
        <v>69</v>
      </c>
      <c r="B70" s="7">
        <v>45048</v>
      </c>
      <c r="C70" s="5">
        <v>167</v>
      </c>
      <c r="D70" s="5">
        <v>326</v>
      </c>
      <c r="E70" s="5">
        <v>213</v>
      </c>
      <c r="F70" s="5">
        <v>8654</v>
      </c>
      <c r="G70" s="5">
        <v>245</v>
      </c>
      <c r="H70" t="str">
        <f t="shared" si="6"/>
        <v>Valid</v>
      </c>
      <c r="I70" t="str">
        <f t="shared" si="7"/>
        <v>Valid</v>
      </c>
      <c r="J70" s="5">
        <f t="shared" si="8"/>
        <v>8409</v>
      </c>
      <c r="K70" s="5">
        <f t="shared" si="9"/>
        <v>8980</v>
      </c>
      <c r="L70" s="5">
        <f>IF(Table1[[#This Row],[Total_System_Load]]&gt;80%*AVERAGE(Table1[Total_System_Load]),Table1[[#This Row],[Total_System_Load]]-Table1[[#This Row],[Total_Children_Under_Care]],0)</f>
        <v>571</v>
      </c>
      <c r="M70" s="5">
        <f t="shared" si="5"/>
        <v>-32</v>
      </c>
      <c r="N70" s="5">
        <f>M71-Table1[[#This Row],[Net_Daily_Intake]]</f>
        <v>-3</v>
      </c>
      <c r="O70" s="5">
        <f>M71-Table1[[#This Row],[Net_Daily_Intake]]/Table1[[#This Row],[Net_Daily_Intake]]</f>
        <v>-36</v>
      </c>
      <c r="P70" t="str">
        <f>IF(Table1[[#This Row],[Change_in_Net_Daily_Intake]]&gt;0,"Sustained Positive","Negative")</f>
        <v>Negative</v>
      </c>
      <c r="Q70" s="1">
        <f>(Table1[[#This Row],[Total_System_Load]]-Table1[[#This Row],[Total_Children_Under_Care]])/Table1[[#This Row],[Total_Children_Under_Care]]*100</f>
        <v>6.7903436793911283</v>
      </c>
      <c r="R70" s="1">
        <f>(Table1[[#This Row],[Children_discharged _from_HHS_ Care]]/Table1[[#This Row],[Children_transferred_out_of_CBP_custody]])</f>
        <v>1.1502347417840375</v>
      </c>
    </row>
    <row r="71" spans="1:18" x14ac:dyDescent="0.3">
      <c r="A71">
        <v>70</v>
      </c>
      <c r="B71" s="7">
        <v>45049</v>
      </c>
      <c r="C71" s="5">
        <v>209</v>
      </c>
      <c r="D71" s="5">
        <v>353</v>
      </c>
      <c r="E71" s="5">
        <v>232</v>
      </c>
      <c r="F71" s="5">
        <v>8704</v>
      </c>
      <c r="G71" s="5">
        <v>267</v>
      </c>
      <c r="H71" t="str">
        <f t="shared" si="6"/>
        <v>Valid</v>
      </c>
      <c r="I71" t="str">
        <f t="shared" si="7"/>
        <v>Valid</v>
      </c>
      <c r="J71" s="5">
        <f t="shared" si="8"/>
        <v>8437</v>
      </c>
      <c r="K71" s="5">
        <f t="shared" si="9"/>
        <v>9057</v>
      </c>
      <c r="L71" s="5">
        <f>IF(Table1[[#This Row],[Total_System_Load]]&gt;80%*AVERAGE(Table1[Total_System_Load]),Table1[[#This Row],[Total_System_Load]]-Table1[[#This Row],[Total_Children_Under_Care]],0)</f>
        <v>620</v>
      </c>
      <c r="M71" s="5">
        <f t="shared" si="5"/>
        <v>-35</v>
      </c>
      <c r="N71" s="5">
        <f>M72-Table1[[#This Row],[Net_Daily_Intake]]</f>
        <v>-11</v>
      </c>
      <c r="O71" s="5">
        <f>M72-Table1[[#This Row],[Net_Daily_Intake]]/Table1[[#This Row],[Net_Daily_Intake]]</f>
        <v>-47</v>
      </c>
      <c r="P71" t="str">
        <f>IF(Table1[[#This Row],[Change_in_Net_Daily_Intake]]&gt;0,"Sustained Positive","Negative")</f>
        <v>Negative</v>
      </c>
      <c r="Q71" s="1">
        <f>(Table1[[#This Row],[Total_System_Load]]-Table1[[#This Row],[Total_Children_Under_Care]])/Table1[[#This Row],[Total_Children_Under_Care]]*100</f>
        <v>7.3485836197700607</v>
      </c>
      <c r="R71" s="1">
        <f>(Table1[[#This Row],[Children_discharged _from_HHS_ Care]]/Table1[[#This Row],[Children_transferred_out_of_CBP_custody]])</f>
        <v>1.1508620689655173</v>
      </c>
    </row>
    <row r="72" spans="1:18" x14ac:dyDescent="0.3">
      <c r="A72">
        <v>71</v>
      </c>
      <c r="B72" s="7">
        <v>45050</v>
      </c>
      <c r="C72" s="5">
        <v>153</v>
      </c>
      <c r="D72" s="5">
        <v>253</v>
      </c>
      <c r="E72" s="5">
        <v>286</v>
      </c>
      <c r="F72" s="5">
        <v>8790</v>
      </c>
      <c r="G72" s="5">
        <v>332</v>
      </c>
      <c r="H72" t="str">
        <f t="shared" si="6"/>
        <v>Invalid</v>
      </c>
      <c r="I72" t="str">
        <f t="shared" si="7"/>
        <v>Valid</v>
      </c>
      <c r="J72" s="5">
        <f t="shared" si="8"/>
        <v>8458</v>
      </c>
      <c r="K72" s="5">
        <f t="shared" si="9"/>
        <v>9043</v>
      </c>
      <c r="L72" s="5">
        <f>IF(Table1[[#This Row],[Total_System_Load]]&gt;80%*AVERAGE(Table1[Total_System_Load]),Table1[[#This Row],[Total_System_Load]]-Table1[[#This Row],[Total_Children_Under_Care]],0)</f>
        <v>585</v>
      </c>
      <c r="M72" s="5">
        <f t="shared" si="5"/>
        <v>-46</v>
      </c>
      <c r="N72" s="5">
        <f>M73-Table1[[#This Row],[Net_Daily_Intake]]</f>
        <v>-110</v>
      </c>
      <c r="O72" s="5">
        <f>M73-Table1[[#This Row],[Net_Daily_Intake]]/Table1[[#This Row],[Net_Daily_Intake]]</f>
        <v>-157</v>
      </c>
      <c r="P72" t="str">
        <f>IF(Table1[[#This Row],[Change_in_Net_Daily_Intake]]&gt;0,"Sustained Positive","Negative")</f>
        <v>Negative</v>
      </c>
      <c r="Q72" s="1">
        <f>(Table1[[#This Row],[Total_System_Load]]-Table1[[#This Row],[Total_Children_Under_Care]])/Table1[[#This Row],[Total_Children_Under_Care]]*100</f>
        <v>6.9165287301962639</v>
      </c>
      <c r="R72" s="1">
        <f>(Table1[[#This Row],[Children_discharged _from_HHS_ Care]]/Table1[[#This Row],[Children_transferred_out_of_CBP_custody]])</f>
        <v>1.1608391608391608</v>
      </c>
    </row>
    <row r="73" spans="1:18" x14ac:dyDescent="0.3">
      <c r="A73">
        <v>72</v>
      </c>
      <c r="B73" s="7">
        <v>45053</v>
      </c>
      <c r="C73" s="5">
        <v>180</v>
      </c>
      <c r="D73" s="5">
        <v>337</v>
      </c>
      <c r="E73" s="5">
        <v>219</v>
      </c>
      <c r="F73" s="5">
        <v>8485</v>
      </c>
      <c r="G73" s="5">
        <v>375</v>
      </c>
      <c r="H73" t="str">
        <f t="shared" si="6"/>
        <v>Valid</v>
      </c>
      <c r="I73" t="str">
        <f t="shared" si="7"/>
        <v>Valid</v>
      </c>
      <c r="J73" s="5">
        <f t="shared" si="8"/>
        <v>8110</v>
      </c>
      <c r="K73" s="5">
        <f t="shared" si="9"/>
        <v>8822</v>
      </c>
      <c r="L73" s="5">
        <f>IF(Table1[[#This Row],[Total_System_Load]]&gt;80%*AVERAGE(Table1[Total_System_Load]),Table1[[#This Row],[Total_System_Load]]-Table1[[#This Row],[Total_Children_Under_Care]],0)</f>
        <v>712</v>
      </c>
      <c r="M73" s="5">
        <f t="shared" si="5"/>
        <v>-156</v>
      </c>
      <c r="N73" s="5">
        <f>M74-Table1[[#This Row],[Net_Daily_Intake]]</f>
        <v>84</v>
      </c>
      <c r="O73" s="5">
        <f>M74-Table1[[#This Row],[Net_Daily_Intake]]/Table1[[#This Row],[Net_Daily_Intake]]</f>
        <v>-73</v>
      </c>
      <c r="P73" t="str">
        <f>IF(Table1[[#This Row],[Change_in_Net_Daily_Intake]]&gt;0,"Sustained Positive","Negative")</f>
        <v>Sustained Positive</v>
      </c>
      <c r="Q73" s="1">
        <f>(Table1[[#This Row],[Total_System_Load]]-Table1[[#This Row],[Total_Children_Under_Care]])/Table1[[#This Row],[Total_Children_Under_Care]]*100</f>
        <v>8.7792848335388403</v>
      </c>
      <c r="R73" s="1">
        <f>(Table1[[#This Row],[Children_discharged _from_HHS_ Care]]/Table1[[#This Row],[Children_transferred_out_of_CBP_custody]])</f>
        <v>1.7123287671232876</v>
      </c>
    </row>
    <row r="74" spans="1:18" x14ac:dyDescent="0.3">
      <c r="A74">
        <v>73</v>
      </c>
      <c r="B74" s="7">
        <v>45054</v>
      </c>
      <c r="C74" s="5">
        <v>133</v>
      </c>
      <c r="D74" s="5">
        <v>287</v>
      </c>
      <c r="E74" s="5">
        <v>189</v>
      </c>
      <c r="F74" s="5">
        <v>8590</v>
      </c>
      <c r="G74" s="5">
        <v>261</v>
      </c>
      <c r="H74" t="str">
        <f t="shared" si="6"/>
        <v>Valid</v>
      </c>
      <c r="I74" t="str">
        <f t="shared" si="7"/>
        <v>Valid</v>
      </c>
      <c r="J74" s="5">
        <f t="shared" si="8"/>
        <v>8329</v>
      </c>
      <c r="K74" s="5">
        <f t="shared" si="9"/>
        <v>8877</v>
      </c>
      <c r="L74" s="5">
        <f>IF(Table1[[#This Row],[Total_System_Load]]&gt;80%*AVERAGE(Table1[Total_System_Load]),Table1[[#This Row],[Total_System_Load]]-Table1[[#This Row],[Total_Children_Under_Care]],0)</f>
        <v>548</v>
      </c>
      <c r="M74" s="5">
        <f t="shared" si="5"/>
        <v>-72</v>
      </c>
      <c r="N74" s="5">
        <f>M75-Table1[[#This Row],[Net_Daily_Intake]]</f>
        <v>69</v>
      </c>
      <c r="O74" s="5">
        <f>M75-Table1[[#This Row],[Net_Daily_Intake]]/Table1[[#This Row],[Net_Daily_Intake]]</f>
        <v>-4</v>
      </c>
      <c r="P74" t="str">
        <f>IF(Table1[[#This Row],[Change_in_Net_Daily_Intake]]&gt;0,"Sustained Positive","Negative")</f>
        <v>Sustained Positive</v>
      </c>
      <c r="Q74" s="1">
        <f>(Table1[[#This Row],[Total_System_Load]]-Table1[[#This Row],[Total_Children_Under_Care]])/Table1[[#This Row],[Total_Children_Under_Care]]*100</f>
        <v>6.579421299075519</v>
      </c>
      <c r="R74" s="1">
        <f>(Table1[[#This Row],[Children_discharged _from_HHS_ Care]]/Table1[[#This Row],[Children_transferred_out_of_CBP_custody]])</f>
        <v>1.3809523809523809</v>
      </c>
    </row>
    <row r="75" spans="1:18" x14ac:dyDescent="0.3">
      <c r="A75">
        <v>74</v>
      </c>
      <c r="B75" s="7">
        <v>45055</v>
      </c>
      <c r="C75" s="5">
        <v>187</v>
      </c>
      <c r="D75" s="5">
        <v>310</v>
      </c>
      <c r="E75" s="5">
        <v>247</v>
      </c>
      <c r="F75" s="5">
        <v>8606</v>
      </c>
      <c r="G75" s="5">
        <v>250</v>
      </c>
      <c r="H75" t="str">
        <f t="shared" si="6"/>
        <v>Valid</v>
      </c>
      <c r="I75" t="str">
        <f t="shared" si="7"/>
        <v>Valid</v>
      </c>
      <c r="J75" s="5">
        <f t="shared" si="8"/>
        <v>8356</v>
      </c>
      <c r="K75" s="5">
        <f t="shared" si="9"/>
        <v>8916</v>
      </c>
      <c r="L75" s="5">
        <f>IF(Table1[[#This Row],[Total_System_Load]]&gt;80%*AVERAGE(Table1[Total_System_Load]),Table1[[#This Row],[Total_System_Load]]-Table1[[#This Row],[Total_Children_Under_Care]],0)</f>
        <v>560</v>
      </c>
      <c r="M75" s="5">
        <f t="shared" si="5"/>
        <v>-3</v>
      </c>
      <c r="N75" s="5">
        <f>M76-Table1[[#This Row],[Net_Daily_Intake]]</f>
        <v>-91</v>
      </c>
      <c r="O75" s="5">
        <f>M76-Table1[[#This Row],[Net_Daily_Intake]]/Table1[[#This Row],[Net_Daily_Intake]]</f>
        <v>-95</v>
      </c>
      <c r="P75" t="str">
        <f>IF(Table1[[#This Row],[Change_in_Net_Daily_Intake]]&gt;0,"Sustained Positive","Negative")</f>
        <v>Negative</v>
      </c>
      <c r="Q75" s="1">
        <f>(Table1[[#This Row],[Total_System_Load]]-Table1[[#This Row],[Total_Children_Under_Care]])/Table1[[#This Row],[Total_Children_Under_Care]]*100</f>
        <v>6.7017711823839159</v>
      </c>
      <c r="R75" s="1">
        <f>(Table1[[#This Row],[Children_discharged _from_HHS_ Care]]/Table1[[#This Row],[Children_transferred_out_of_CBP_custody]])</f>
        <v>1.0121457489878543</v>
      </c>
    </row>
    <row r="76" spans="1:18" x14ac:dyDescent="0.3">
      <c r="A76">
        <v>75</v>
      </c>
      <c r="B76" s="7">
        <v>45056</v>
      </c>
      <c r="C76" s="5">
        <v>168</v>
      </c>
      <c r="D76" s="5">
        <v>285</v>
      </c>
      <c r="E76" s="5">
        <v>210</v>
      </c>
      <c r="F76" s="5">
        <v>8681</v>
      </c>
      <c r="G76" s="5">
        <v>304</v>
      </c>
      <c r="H76" t="str">
        <f t="shared" si="6"/>
        <v>Valid</v>
      </c>
      <c r="I76" t="str">
        <f t="shared" si="7"/>
        <v>Valid</v>
      </c>
      <c r="J76" s="5">
        <f t="shared" si="8"/>
        <v>8377</v>
      </c>
      <c r="K76" s="5">
        <f t="shared" si="9"/>
        <v>8966</v>
      </c>
      <c r="L76" s="5">
        <f>IF(Table1[[#This Row],[Total_System_Load]]&gt;80%*AVERAGE(Table1[Total_System_Load]),Table1[[#This Row],[Total_System_Load]]-Table1[[#This Row],[Total_Children_Under_Care]],0)</f>
        <v>589</v>
      </c>
      <c r="M76" s="5">
        <f t="shared" si="5"/>
        <v>-94</v>
      </c>
      <c r="N76" s="5">
        <f>M77-Table1[[#This Row],[Net_Daily_Intake]]</f>
        <v>-94</v>
      </c>
      <c r="O76" s="5">
        <f>M77-Table1[[#This Row],[Net_Daily_Intake]]/Table1[[#This Row],[Net_Daily_Intake]]</f>
        <v>-189</v>
      </c>
      <c r="P76" t="str">
        <f>IF(Table1[[#This Row],[Change_in_Net_Daily_Intake]]&gt;0,"Sustained Positive","Negative")</f>
        <v>Negative</v>
      </c>
      <c r="Q76" s="1">
        <f>(Table1[[#This Row],[Total_System_Load]]-Table1[[#This Row],[Total_Children_Under_Care]])/Table1[[#This Row],[Total_Children_Under_Care]]*100</f>
        <v>7.0311567386892673</v>
      </c>
      <c r="R76" s="1">
        <f>(Table1[[#This Row],[Children_discharged _from_HHS_ Care]]/Table1[[#This Row],[Children_transferred_out_of_CBP_custody]])</f>
        <v>1.4476190476190476</v>
      </c>
    </row>
    <row r="77" spans="1:18" x14ac:dyDescent="0.3">
      <c r="A77">
        <v>76</v>
      </c>
      <c r="B77" s="7">
        <v>45057</v>
      </c>
      <c r="C77" s="5">
        <v>269</v>
      </c>
      <c r="D77" s="5">
        <v>412</v>
      </c>
      <c r="E77" s="5">
        <v>204</v>
      </c>
      <c r="F77" s="5">
        <v>8672</v>
      </c>
      <c r="G77" s="5">
        <v>392</v>
      </c>
      <c r="H77" t="str">
        <f t="shared" si="6"/>
        <v>Valid</v>
      </c>
      <c r="I77" t="str">
        <f t="shared" si="7"/>
        <v>Valid</v>
      </c>
      <c r="J77" s="5">
        <f t="shared" si="8"/>
        <v>8280</v>
      </c>
      <c r="K77" s="5">
        <f t="shared" si="9"/>
        <v>9084</v>
      </c>
      <c r="L77" s="5">
        <f>IF(Table1[[#This Row],[Total_System_Load]]&gt;80%*AVERAGE(Table1[Total_System_Load]),Table1[[#This Row],[Total_System_Load]]-Table1[[#This Row],[Total_Children_Under_Care]],0)</f>
        <v>804</v>
      </c>
      <c r="M77" s="5">
        <f t="shared" si="5"/>
        <v>-188</v>
      </c>
      <c r="N77" s="5">
        <f>M78-Table1[[#This Row],[Net_Daily_Intake]]</f>
        <v>136</v>
      </c>
      <c r="O77" s="5">
        <f>M78-Table1[[#This Row],[Net_Daily_Intake]]/Table1[[#This Row],[Net_Daily_Intake]]</f>
        <v>-53</v>
      </c>
      <c r="P77" t="str">
        <f>IF(Table1[[#This Row],[Change_in_Net_Daily_Intake]]&gt;0,"Sustained Positive","Negative")</f>
        <v>Sustained Positive</v>
      </c>
      <c r="Q77" s="1">
        <f>(Table1[[#This Row],[Total_System_Load]]-Table1[[#This Row],[Total_Children_Under_Care]])/Table1[[#This Row],[Total_Children_Under_Care]]*100</f>
        <v>9.7101449275362324</v>
      </c>
      <c r="R77" s="1">
        <f>(Table1[[#This Row],[Children_discharged _from_HHS_ Care]]/Table1[[#This Row],[Children_transferred_out_of_CBP_custody]])</f>
        <v>1.9215686274509804</v>
      </c>
    </row>
    <row r="78" spans="1:18" x14ac:dyDescent="0.3">
      <c r="A78">
        <v>77</v>
      </c>
      <c r="B78" s="7">
        <v>45060</v>
      </c>
      <c r="C78" s="5">
        <v>100</v>
      </c>
      <c r="D78" s="5">
        <v>255</v>
      </c>
      <c r="E78" s="5">
        <v>236</v>
      </c>
      <c r="F78" s="5">
        <v>8445</v>
      </c>
      <c r="G78" s="5">
        <v>288</v>
      </c>
      <c r="H78" t="str">
        <f t="shared" si="6"/>
        <v>Valid</v>
      </c>
      <c r="I78" t="str">
        <f t="shared" si="7"/>
        <v>Valid</v>
      </c>
      <c r="J78" s="5">
        <f t="shared" si="8"/>
        <v>8157</v>
      </c>
      <c r="K78" s="5">
        <f t="shared" si="9"/>
        <v>8700</v>
      </c>
      <c r="L78" s="5">
        <f>IF(Table1[[#This Row],[Total_System_Load]]&gt;80%*AVERAGE(Table1[Total_System_Load]),Table1[[#This Row],[Total_System_Load]]-Table1[[#This Row],[Total_Children_Under_Care]],0)</f>
        <v>543</v>
      </c>
      <c r="M78" s="5">
        <f t="shared" si="5"/>
        <v>-52</v>
      </c>
      <c r="N78" s="5">
        <f>M79-Table1[[#This Row],[Net_Daily_Intake]]</f>
        <v>-48</v>
      </c>
      <c r="O78" s="5">
        <f>M79-Table1[[#This Row],[Net_Daily_Intake]]/Table1[[#This Row],[Net_Daily_Intake]]</f>
        <v>-101</v>
      </c>
      <c r="P78" t="str">
        <f>IF(Table1[[#This Row],[Change_in_Net_Daily_Intake]]&gt;0,"Sustained Positive","Negative")</f>
        <v>Negative</v>
      </c>
      <c r="Q78" s="1">
        <f>(Table1[[#This Row],[Total_System_Load]]-Table1[[#This Row],[Total_Children_Under_Care]])/Table1[[#This Row],[Total_Children_Under_Care]]*100</f>
        <v>6.656859139389482</v>
      </c>
      <c r="R78" s="1">
        <f>(Table1[[#This Row],[Children_discharged _from_HHS_ Care]]/Table1[[#This Row],[Children_transferred_out_of_CBP_custody]])</f>
        <v>1.2203389830508475</v>
      </c>
    </row>
    <row r="79" spans="1:18" x14ac:dyDescent="0.3">
      <c r="A79">
        <v>78</v>
      </c>
      <c r="B79" s="7">
        <v>45061</v>
      </c>
      <c r="C79" s="5">
        <v>205</v>
      </c>
      <c r="D79" s="5">
        <v>294</v>
      </c>
      <c r="E79" s="5">
        <v>177</v>
      </c>
      <c r="F79" s="5">
        <v>8571</v>
      </c>
      <c r="G79" s="5">
        <v>277</v>
      </c>
      <c r="H79" t="str">
        <f t="shared" si="6"/>
        <v>Valid</v>
      </c>
      <c r="I79" t="str">
        <f t="shared" si="7"/>
        <v>Valid</v>
      </c>
      <c r="J79" s="5">
        <f t="shared" si="8"/>
        <v>8294</v>
      </c>
      <c r="K79" s="5">
        <f t="shared" si="9"/>
        <v>8865</v>
      </c>
      <c r="L79" s="5">
        <f>IF(Table1[[#This Row],[Total_System_Load]]&gt;80%*AVERAGE(Table1[Total_System_Load]),Table1[[#This Row],[Total_System_Load]]-Table1[[#This Row],[Total_Children_Under_Care]],0)</f>
        <v>571</v>
      </c>
      <c r="M79" s="5">
        <f t="shared" si="5"/>
        <v>-100</v>
      </c>
      <c r="N79" s="5">
        <f>M80-Table1[[#This Row],[Net_Daily_Intake]]</f>
        <v>39</v>
      </c>
      <c r="O79" s="5">
        <f>M80-Table1[[#This Row],[Net_Daily_Intake]]/Table1[[#This Row],[Net_Daily_Intake]]</f>
        <v>-62</v>
      </c>
      <c r="P79" t="str">
        <f>IF(Table1[[#This Row],[Change_in_Net_Daily_Intake]]&gt;0,"Sustained Positive","Negative")</f>
        <v>Sustained Positive</v>
      </c>
      <c r="Q79" s="1">
        <f>(Table1[[#This Row],[Total_System_Load]]-Table1[[#This Row],[Total_Children_Under_Care]])/Table1[[#This Row],[Total_Children_Under_Care]]*100</f>
        <v>6.8844948155292975</v>
      </c>
      <c r="R79" s="1">
        <f>(Table1[[#This Row],[Children_discharged _from_HHS_ Care]]/Table1[[#This Row],[Children_transferred_out_of_CBP_custody]])</f>
        <v>1.5649717514124293</v>
      </c>
    </row>
    <row r="80" spans="1:18" x14ac:dyDescent="0.3">
      <c r="A80">
        <v>79</v>
      </c>
      <c r="B80" s="7">
        <v>45062</v>
      </c>
      <c r="C80" s="5">
        <v>161</v>
      </c>
      <c r="D80" s="5">
        <v>304</v>
      </c>
      <c r="E80" s="5">
        <v>211</v>
      </c>
      <c r="F80" s="5">
        <v>8572</v>
      </c>
      <c r="G80" s="5">
        <v>272</v>
      </c>
      <c r="H80" t="str">
        <f t="shared" si="6"/>
        <v>Valid</v>
      </c>
      <c r="I80" t="str">
        <f t="shared" si="7"/>
        <v>Valid</v>
      </c>
      <c r="J80" s="5">
        <f t="shared" si="8"/>
        <v>8300</v>
      </c>
      <c r="K80" s="5">
        <f t="shared" si="9"/>
        <v>8876</v>
      </c>
      <c r="L80" s="5">
        <f>IF(Table1[[#This Row],[Total_System_Load]]&gt;80%*AVERAGE(Table1[Total_System_Load]),Table1[[#This Row],[Total_System_Load]]-Table1[[#This Row],[Total_Children_Under_Care]],0)</f>
        <v>576</v>
      </c>
      <c r="M80" s="5">
        <f t="shared" si="5"/>
        <v>-61</v>
      </c>
      <c r="N80" s="5">
        <f>M81-Table1[[#This Row],[Net_Daily_Intake]]</f>
        <v>-53</v>
      </c>
      <c r="O80" s="5">
        <f>M81-Table1[[#This Row],[Net_Daily_Intake]]/Table1[[#This Row],[Net_Daily_Intake]]</f>
        <v>-115</v>
      </c>
      <c r="P80" t="str">
        <f>IF(Table1[[#This Row],[Change_in_Net_Daily_Intake]]&gt;0,"Sustained Positive","Negative")</f>
        <v>Negative</v>
      </c>
      <c r="Q80" s="1">
        <f>(Table1[[#This Row],[Total_System_Load]]-Table1[[#This Row],[Total_Children_Under_Care]])/Table1[[#This Row],[Total_Children_Under_Care]]*100</f>
        <v>6.9397590361445785</v>
      </c>
      <c r="R80" s="1">
        <f>(Table1[[#This Row],[Children_discharged _from_HHS_ Care]]/Table1[[#This Row],[Children_transferred_out_of_CBP_custody]])</f>
        <v>1.2890995260663507</v>
      </c>
    </row>
    <row r="81" spans="1:18" x14ac:dyDescent="0.3">
      <c r="A81">
        <v>80</v>
      </c>
      <c r="B81" s="7">
        <v>45063</v>
      </c>
      <c r="C81" s="5">
        <v>57</v>
      </c>
      <c r="D81" s="5">
        <v>162</v>
      </c>
      <c r="E81" s="5">
        <v>193</v>
      </c>
      <c r="F81" s="5">
        <v>8569</v>
      </c>
      <c r="G81" s="5">
        <v>307</v>
      </c>
      <c r="H81" t="str">
        <f t="shared" si="6"/>
        <v>Invalid</v>
      </c>
      <c r="I81" t="str">
        <f t="shared" si="7"/>
        <v>Valid</v>
      </c>
      <c r="J81" s="5">
        <f t="shared" si="8"/>
        <v>8262</v>
      </c>
      <c r="K81" s="5">
        <f t="shared" si="9"/>
        <v>8731</v>
      </c>
      <c r="L81" s="5">
        <f>IF(Table1[[#This Row],[Total_System_Load]]&gt;80%*AVERAGE(Table1[Total_System_Load]),Table1[[#This Row],[Total_System_Load]]-Table1[[#This Row],[Total_Children_Under_Care]],0)</f>
        <v>469</v>
      </c>
      <c r="M81" s="5">
        <f t="shared" si="5"/>
        <v>-114</v>
      </c>
      <c r="N81" s="5">
        <f>M82-Table1[[#This Row],[Net_Daily_Intake]]</f>
        <v>-85</v>
      </c>
      <c r="O81" s="5">
        <f>M82-Table1[[#This Row],[Net_Daily_Intake]]/Table1[[#This Row],[Net_Daily_Intake]]</f>
        <v>-200</v>
      </c>
      <c r="P81" t="str">
        <f>IF(Table1[[#This Row],[Change_in_Net_Daily_Intake]]&gt;0,"Sustained Positive","Negative")</f>
        <v>Negative</v>
      </c>
      <c r="Q81" s="1">
        <f>(Table1[[#This Row],[Total_System_Load]]-Table1[[#This Row],[Total_Children_Under_Care]])/Table1[[#This Row],[Total_Children_Under_Care]]*100</f>
        <v>5.6765916243040424</v>
      </c>
      <c r="R81" s="1">
        <f>(Table1[[#This Row],[Children_discharged _from_HHS_ Care]]/Table1[[#This Row],[Children_transferred_out_of_CBP_custody]])</f>
        <v>1.5906735751295338</v>
      </c>
    </row>
    <row r="82" spans="1:18" x14ac:dyDescent="0.3">
      <c r="A82">
        <v>81</v>
      </c>
      <c r="B82" s="7">
        <v>45064</v>
      </c>
      <c r="C82" s="5">
        <v>80</v>
      </c>
      <c r="D82" s="5">
        <v>122</v>
      </c>
      <c r="E82" s="5">
        <v>152</v>
      </c>
      <c r="F82" s="5">
        <v>8474</v>
      </c>
      <c r="G82" s="5">
        <v>351</v>
      </c>
      <c r="H82" t="str">
        <f t="shared" si="6"/>
        <v>Invalid</v>
      </c>
      <c r="I82" t="str">
        <f t="shared" si="7"/>
        <v>Valid</v>
      </c>
      <c r="J82" s="5">
        <f t="shared" si="8"/>
        <v>8123</v>
      </c>
      <c r="K82" s="5">
        <f t="shared" si="9"/>
        <v>8596</v>
      </c>
      <c r="L82" s="5">
        <f>IF(Table1[[#This Row],[Total_System_Load]]&gt;80%*AVERAGE(Table1[Total_System_Load]),Table1[[#This Row],[Total_System_Load]]-Table1[[#This Row],[Total_Children_Under_Care]],0)</f>
        <v>473</v>
      </c>
      <c r="M82" s="5">
        <f t="shared" si="5"/>
        <v>-199</v>
      </c>
      <c r="N82" s="5">
        <f>M83-Table1[[#This Row],[Net_Daily_Intake]]</f>
        <v>-11</v>
      </c>
      <c r="O82" s="5">
        <f>M83-Table1[[#This Row],[Net_Daily_Intake]]/Table1[[#This Row],[Net_Daily_Intake]]</f>
        <v>-211</v>
      </c>
      <c r="P82" t="str">
        <f>IF(Table1[[#This Row],[Change_in_Net_Daily_Intake]]&gt;0,"Sustained Positive","Negative")</f>
        <v>Negative</v>
      </c>
      <c r="Q82" s="1">
        <f>(Table1[[#This Row],[Total_System_Load]]-Table1[[#This Row],[Total_Children_Under_Care]])/Table1[[#This Row],[Total_Children_Under_Care]]*100</f>
        <v>5.8229718084451561</v>
      </c>
      <c r="R82" s="1">
        <f>(Table1[[#This Row],[Children_discharged _from_HHS_ Care]]/Table1[[#This Row],[Children_transferred_out_of_CBP_custody]])</f>
        <v>2.3092105263157894</v>
      </c>
    </row>
    <row r="83" spans="1:18" x14ac:dyDescent="0.3">
      <c r="A83">
        <v>82</v>
      </c>
      <c r="B83" s="7">
        <v>45067</v>
      </c>
      <c r="C83" s="5">
        <v>107</v>
      </c>
      <c r="D83" s="5">
        <v>170</v>
      </c>
      <c r="E83" s="5">
        <v>133</v>
      </c>
      <c r="F83" s="5">
        <v>7826</v>
      </c>
      <c r="G83" s="5">
        <v>343</v>
      </c>
      <c r="H83" t="str">
        <f t="shared" si="6"/>
        <v>Valid</v>
      </c>
      <c r="I83" t="str">
        <f t="shared" si="7"/>
        <v>Valid</v>
      </c>
      <c r="J83" s="5">
        <f t="shared" si="8"/>
        <v>7483</v>
      </c>
      <c r="K83" s="5">
        <f t="shared" si="9"/>
        <v>7996</v>
      </c>
      <c r="L83" s="5">
        <f>IF(Table1[[#This Row],[Total_System_Load]]&gt;80%*AVERAGE(Table1[Total_System_Load]),Table1[[#This Row],[Total_System_Load]]-Table1[[#This Row],[Total_Children_Under_Care]],0)</f>
        <v>513</v>
      </c>
      <c r="M83" s="5">
        <f t="shared" si="5"/>
        <v>-210</v>
      </c>
      <c r="N83" s="5">
        <f>M84-Table1[[#This Row],[Net_Daily_Intake]]</f>
        <v>109</v>
      </c>
      <c r="O83" s="5">
        <f>M84-Table1[[#This Row],[Net_Daily_Intake]]/Table1[[#This Row],[Net_Daily_Intake]]</f>
        <v>-102</v>
      </c>
      <c r="P83" t="str">
        <f>IF(Table1[[#This Row],[Change_in_Net_Daily_Intake]]&gt;0,"Sustained Positive","Negative")</f>
        <v>Sustained Positive</v>
      </c>
      <c r="Q83" s="1">
        <f>(Table1[[#This Row],[Total_System_Load]]-Table1[[#This Row],[Total_Children_Under_Care]])/Table1[[#This Row],[Total_Children_Under_Care]]*100</f>
        <v>6.8555392222370708</v>
      </c>
      <c r="R83" s="1">
        <f>(Table1[[#This Row],[Children_discharged _from_HHS_ Care]]/Table1[[#This Row],[Children_transferred_out_of_CBP_custody]])</f>
        <v>2.5789473684210527</v>
      </c>
    </row>
    <row r="84" spans="1:18" x14ac:dyDescent="0.3">
      <c r="A84">
        <v>83</v>
      </c>
      <c r="B84" s="7">
        <v>45068</v>
      </c>
      <c r="C84" s="5">
        <v>99</v>
      </c>
      <c r="D84" s="5">
        <v>156</v>
      </c>
      <c r="E84" s="5">
        <v>139</v>
      </c>
      <c r="F84" s="5">
        <v>7848</v>
      </c>
      <c r="G84" s="5">
        <v>240</v>
      </c>
      <c r="H84" t="str">
        <f t="shared" si="6"/>
        <v>Valid</v>
      </c>
      <c r="I84" t="str">
        <f t="shared" si="7"/>
        <v>Valid</v>
      </c>
      <c r="J84" s="5">
        <f t="shared" si="8"/>
        <v>7608</v>
      </c>
      <c r="K84" s="5">
        <f t="shared" si="9"/>
        <v>8004</v>
      </c>
      <c r="L84" s="5">
        <f>IF(Table1[[#This Row],[Total_System_Load]]&gt;80%*AVERAGE(Table1[Total_System_Load]),Table1[[#This Row],[Total_System_Load]]-Table1[[#This Row],[Total_Children_Under_Care]],0)</f>
        <v>396</v>
      </c>
      <c r="M84" s="5">
        <f t="shared" si="5"/>
        <v>-101</v>
      </c>
      <c r="N84" s="5">
        <f>M85-Table1[[#This Row],[Net_Daily_Intake]]</f>
        <v>-51</v>
      </c>
      <c r="O84" s="5">
        <f>M85-Table1[[#This Row],[Net_Daily_Intake]]/Table1[[#This Row],[Net_Daily_Intake]]</f>
        <v>-153</v>
      </c>
      <c r="P84" t="str">
        <f>IF(Table1[[#This Row],[Change_in_Net_Daily_Intake]]&gt;0,"Sustained Positive","Negative")</f>
        <v>Negative</v>
      </c>
      <c r="Q84" s="1">
        <f>(Table1[[#This Row],[Total_System_Load]]-Table1[[#This Row],[Total_Children_Under_Care]])/Table1[[#This Row],[Total_Children_Under_Care]]*100</f>
        <v>5.2050473186119879</v>
      </c>
      <c r="R84" s="1">
        <f>(Table1[[#This Row],[Children_discharged _from_HHS_ Care]]/Table1[[#This Row],[Children_transferred_out_of_CBP_custody]])</f>
        <v>1.7266187050359711</v>
      </c>
    </row>
    <row r="85" spans="1:18" x14ac:dyDescent="0.3">
      <c r="A85">
        <v>84</v>
      </c>
      <c r="B85" s="7">
        <v>45069</v>
      </c>
      <c r="C85" s="5">
        <v>25</v>
      </c>
      <c r="D85" s="5">
        <v>66</v>
      </c>
      <c r="E85" s="5">
        <v>94</v>
      </c>
      <c r="F85" s="5">
        <v>7788</v>
      </c>
      <c r="G85" s="5">
        <v>246</v>
      </c>
      <c r="H85" t="str">
        <f t="shared" si="6"/>
        <v>Invalid</v>
      </c>
      <c r="I85" t="str">
        <f t="shared" si="7"/>
        <v>Valid</v>
      </c>
      <c r="J85" s="5">
        <f t="shared" si="8"/>
        <v>7542</v>
      </c>
      <c r="K85" s="5">
        <f t="shared" si="9"/>
        <v>7854</v>
      </c>
      <c r="L85" s="5">
        <f>IF(Table1[[#This Row],[Total_System_Load]]&gt;80%*AVERAGE(Table1[Total_System_Load]),Table1[[#This Row],[Total_System_Load]]-Table1[[#This Row],[Total_Children_Under_Care]],0)</f>
        <v>312</v>
      </c>
      <c r="M85" s="5">
        <f t="shared" si="5"/>
        <v>-152</v>
      </c>
      <c r="N85" s="5">
        <f>M86-Table1[[#This Row],[Net_Daily_Intake]]</f>
        <v>-71</v>
      </c>
      <c r="O85" s="5">
        <f>M86-Table1[[#This Row],[Net_Daily_Intake]]/Table1[[#This Row],[Net_Daily_Intake]]</f>
        <v>-224</v>
      </c>
      <c r="P85" t="str">
        <f>IF(Table1[[#This Row],[Change_in_Net_Daily_Intake]]&gt;0,"Sustained Positive","Negative")</f>
        <v>Negative</v>
      </c>
      <c r="Q85" s="1">
        <f>(Table1[[#This Row],[Total_System_Load]]-Table1[[#This Row],[Total_Children_Under_Care]])/Table1[[#This Row],[Total_Children_Under_Care]]*100</f>
        <v>4.1368337311058072</v>
      </c>
      <c r="R85" s="1">
        <f>(Table1[[#This Row],[Children_discharged _from_HHS_ Care]]/Table1[[#This Row],[Children_transferred_out_of_CBP_custody]])</f>
        <v>2.6170212765957448</v>
      </c>
    </row>
    <row r="86" spans="1:18" x14ac:dyDescent="0.3">
      <c r="A86">
        <v>85</v>
      </c>
      <c r="B86" s="7">
        <v>45070</v>
      </c>
      <c r="C86" s="5">
        <v>35</v>
      </c>
      <c r="D86" s="5">
        <v>70</v>
      </c>
      <c r="E86" s="5">
        <v>53</v>
      </c>
      <c r="F86" s="5">
        <v>7709</v>
      </c>
      <c r="G86" s="5">
        <v>276</v>
      </c>
      <c r="H86" t="str">
        <f t="shared" si="6"/>
        <v>Valid</v>
      </c>
      <c r="I86" t="str">
        <f t="shared" si="7"/>
        <v>Valid</v>
      </c>
      <c r="J86" s="5">
        <f t="shared" si="8"/>
        <v>7433</v>
      </c>
      <c r="K86" s="5">
        <f t="shared" si="9"/>
        <v>7779</v>
      </c>
      <c r="L86" s="5">
        <f>IF(Table1[[#This Row],[Total_System_Load]]&gt;80%*AVERAGE(Table1[Total_System_Load]),Table1[[#This Row],[Total_System_Load]]-Table1[[#This Row],[Total_Children_Under_Care]],0)</f>
        <v>346</v>
      </c>
      <c r="M86" s="5">
        <f t="shared" si="5"/>
        <v>-223</v>
      </c>
      <c r="N86" s="5">
        <f>M87-Table1[[#This Row],[Net_Daily_Intake]]</f>
        <v>-121</v>
      </c>
      <c r="O86" s="5">
        <f>M87-Table1[[#This Row],[Net_Daily_Intake]]/Table1[[#This Row],[Net_Daily_Intake]]</f>
        <v>-345</v>
      </c>
      <c r="P86" t="str">
        <f>IF(Table1[[#This Row],[Change_in_Net_Daily_Intake]]&gt;0,"Sustained Positive","Negative")</f>
        <v>Negative</v>
      </c>
      <c r="Q86" s="1">
        <f>(Table1[[#This Row],[Total_System_Load]]-Table1[[#This Row],[Total_Children_Under_Care]])/Table1[[#This Row],[Total_Children_Under_Care]]*100</f>
        <v>4.6549172608637157</v>
      </c>
      <c r="R86" s="1">
        <f>(Table1[[#This Row],[Children_discharged _from_HHS_ Care]]/Table1[[#This Row],[Children_transferred_out_of_CBP_custody]])</f>
        <v>5.2075471698113205</v>
      </c>
    </row>
    <row r="87" spans="1:18" x14ac:dyDescent="0.3">
      <c r="A87">
        <v>86</v>
      </c>
      <c r="B87" s="7">
        <v>45071</v>
      </c>
      <c r="C87" s="5">
        <v>43</v>
      </c>
      <c r="D87" s="5">
        <v>73</v>
      </c>
      <c r="E87" s="5">
        <v>64</v>
      </c>
      <c r="F87" s="5">
        <v>7546</v>
      </c>
      <c r="G87" s="5">
        <v>408</v>
      </c>
      <c r="H87" t="str">
        <f t="shared" si="6"/>
        <v>Valid</v>
      </c>
      <c r="I87" t="str">
        <f t="shared" si="7"/>
        <v>Valid</v>
      </c>
      <c r="J87" s="5">
        <f t="shared" si="8"/>
        <v>7138</v>
      </c>
      <c r="K87" s="5">
        <f t="shared" si="9"/>
        <v>7619</v>
      </c>
      <c r="L87" s="5">
        <f>IF(Table1[[#This Row],[Total_System_Load]]&gt;80%*AVERAGE(Table1[Total_System_Load]),Table1[[#This Row],[Total_System_Load]]-Table1[[#This Row],[Total_Children_Under_Care]],0)</f>
        <v>481</v>
      </c>
      <c r="M87" s="5">
        <f t="shared" si="5"/>
        <v>-344</v>
      </c>
      <c r="N87" s="5">
        <f>M88-Table1[[#This Row],[Net_Daily_Intake]]</f>
        <v>208</v>
      </c>
      <c r="O87" s="5">
        <f>M88-Table1[[#This Row],[Net_Daily_Intake]]/Table1[[#This Row],[Net_Daily_Intake]]</f>
        <v>-137</v>
      </c>
      <c r="P87" t="str">
        <f>IF(Table1[[#This Row],[Change_in_Net_Daily_Intake]]&gt;0,"Sustained Positive","Negative")</f>
        <v>Sustained Positive</v>
      </c>
      <c r="Q87" s="1">
        <f>(Table1[[#This Row],[Total_System_Load]]-Table1[[#This Row],[Total_Children_Under_Care]])/Table1[[#This Row],[Total_Children_Under_Care]]*100</f>
        <v>6.7385822359204264</v>
      </c>
      <c r="R87" s="1">
        <f>(Table1[[#This Row],[Children_discharged _from_HHS_ Care]]/Table1[[#This Row],[Children_transferred_out_of_CBP_custody]])</f>
        <v>6.375</v>
      </c>
    </row>
    <row r="88" spans="1:18" x14ac:dyDescent="0.3">
      <c r="A88">
        <v>87</v>
      </c>
      <c r="B88" s="7">
        <v>45075</v>
      </c>
      <c r="C88" s="5">
        <v>41</v>
      </c>
      <c r="D88" s="5">
        <v>60</v>
      </c>
      <c r="E88" s="5">
        <v>71</v>
      </c>
      <c r="F88" s="5">
        <v>6996</v>
      </c>
      <c r="G88" s="5">
        <v>207</v>
      </c>
      <c r="H88" t="str">
        <f t="shared" si="6"/>
        <v>Invalid</v>
      </c>
      <c r="I88" t="str">
        <f t="shared" si="7"/>
        <v>Valid</v>
      </c>
      <c r="J88" s="5">
        <f t="shared" si="8"/>
        <v>6789</v>
      </c>
      <c r="K88" s="5">
        <f t="shared" si="9"/>
        <v>7056</v>
      </c>
      <c r="L88" s="5">
        <f>IF(Table1[[#This Row],[Total_System_Load]]&gt;80%*AVERAGE(Table1[Total_System_Load]),Table1[[#This Row],[Total_System_Load]]-Table1[[#This Row],[Total_Children_Under_Care]],0)</f>
        <v>267</v>
      </c>
      <c r="M88" s="5">
        <f t="shared" si="5"/>
        <v>-136</v>
      </c>
      <c r="N88" s="5">
        <f>M89-Table1[[#This Row],[Net_Daily_Intake]]</f>
        <v>33</v>
      </c>
      <c r="O88" s="5">
        <f>M89-Table1[[#This Row],[Net_Daily_Intake]]/Table1[[#This Row],[Net_Daily_Intake]]</f>
        <v>-104</v>
      </c>
      <c r="P88" t="str">
        <f>IF(Table1[[#This Row],[Change_in_Net_Daily_Intake]]&gt;0,"Sustained Positive","Negative")</f>
        <v>Sustained Positive</v>
      </c>
      <c r="Q88" s="1">
        <f>(Table1[[#This Row],[Total_System_Load]]-Table1[[#This Row],[Total_Children_Under_Care]])/Table1[[#This Row],[Total_Children_Under_Care]]*100</f>
        <v>3.9328325231992931</v>
      </c>
      <c r="R88" s="1">
        <f>(Table1[[#This Row],[Children_discharged _from_HHS_ Care]]/Table1[[#This Row],[Children_transferred_out_of_CBP_custody]])</f>
        <v>2.915492957746479</v>
      </c>
    </row>
    <row r="89" spans="1:18" x14ac:dyDescent="0.3">
      <c r="A89">
        <v>88</v>
      </c>
      <c r="B89" s="7">
        <v>45076</v>
      </c>
      <c r="C89" s="5">
        <v>65</v>
      </c>
      <c r="D89" s="5">
        <v>83</v>
      </c>
      <c r="E89" s="5">
        <v>65</v>
      </c>
      <c r="F89" s="5">
        <v>7046</v>
      </c>
      <c r="G89" s="5">
        <v>168</v>
      </c>
      <c r="H89" t="str">
        <f t="shared" si="6"/>
        <v>Valid</v>
      </c>
      <c r="I89" t="str">
        <f t="shared" si="7"/>
        <v>Valid</v>
      </c>
      <c r="J89" s="5">
        <f t="shared" si="8"/>
        <v>6878</v>
      </c>
      <c r="K89" s="5">
        <f t="shared" si="9"/>
        <v>7129</v>
      </c>
      <c r="L89" s="5">
        <f>IF(Table1[[#This Row],[Total_System_Load]]&gt;80%*AVERAGE(Table1[Total_System_Load]),Table1[[#This Row],[Total_System_Load]]-Table1[[#This Row],[Total_Children_Under_Care]],0)</f>
        <v>251</v>
      </c>
      <c r="M89" s="5">
        <f t="shared" si="5"/>
        <v>-103</v>
      </c>
      <c r="N89" s="5">
        <f>M90-Table1[[#This Row],[Net_Daily_Intake]]</f>
        <v>-25</v>
      </c>
      <c r="O89" s="5">
        <f>M90-Table1[[#This Row],[Net_Daily_Intake]]/Table1[[#This Row],[Net_Daily_Intake]]</f>
        <v>-129</v>
      </c>
      <c r="P89" t="str">
        <f>IF(Table1[[#This Row],[Change_in_Net_Daily_Intake]]&gt;0,"Sustained Positive","Negative")</f>
        <v>Negative</v>
      </c>
      <c r="Q89" s="1">
        <f>(Table1[[#This Row],[Total_System_Load]]-Table1[[#This Row],[Total_Children_Under_Care]])/Table1[[#This Row],[Total_Children_Under_Care]]*100</f>
        <v>3.649316661820297</v>
      </c>
      <c r="R89" s="1">
        <f>(Table1[[#This Row],[Children_discharged _from_HHS_ Care]]/Table1[[#This Row],[Children_transferred_out_of_CBP_custody]])</f>
        <v>2.5846153846153848</v>
      </c>
    </row>
    <row r="90" spans="1:18" x14ac:dyDescent="0.3">
      <c r="A90">
        <v>89</v>
      </c>
      <c r="B90" s="7">
        <v>45077</v>
      </c>
      <c r="C90" s="5">
        <v>38</v>
      </c>
      <c r="D90" s="5">
        <v>80</v>
      </c>
      <c r="E90" s="5">
        <v>82</v>
      </c>
      <c r="F90" s="5">
        <v>7053</v>
      </c>
      <c r="G90" s="5">
        <v>210</v>
      </c>
      <c r="H90" t="str">
        <f t="shared" si="6"/>
        <v>Invalid</v>
      </c>
      <c r="I90" t="str">
        <f t="shared" si="7"/>
        <v>Valid</v>
      </c>
      <c r="J90" s="5">
        <f t="shared" si="8"/>
        <v>6843</v>
      </c>
      <c r="K90" s="5">
        <f t="shared" si="9"/>
        <v>7133</v>
      </c>
      <c r="L90" s="5">
        <f>IF(Table1[[#This Row],[Total_System_Load]]&gt;80%*AVERAGE(Table1[Total_System_Load]),Table1[[#This Row],[Total_System_Load]]-Table1[[#This Row],[Total_Children_Under_Care]],0)</f>
        <v>290</v>
      </c>
      <c r="M90" s="5">
        <f t="shared" si="5"/>
        <v>-128</v>
      </c>
      <c r="N90" s="5">
        <f>M91-Table1[[#This Row],[Net_Daily_Intake]]</f>
        <v>-91</v>
      </c>
      <c r="O90" s="5">
        <f>M91-Table1[[#This Row],[Net_Daily_Intake]]/Table1[[#This Row],[Net_Daily_Intake]]</f>
        <v>-220</v>
      </c>
      <c r="P90" t="str">
        <f>IF(Table1[[#This Row],[Change_in_Net_Daily_Intake]]&gt;0,"Sustained Positive","Negative")</f>
        <v>Negative</v>
      </c>
      <c r="Q90" s="1">
        <f>(Table1[[#This Row],[Total_System_Load]]-Table1[[#This Row],[Total_Children_Under_Care]])/Table1[[#This Row],[Total_Children_Under_Care]]*100</f>
        <v>4.237907350577232</v>
      </c>
      <c r="R90" s="1">
        <f>(Table1[[#This Row],[Children_discharged _from_HHS_ Care]]/Table1[[#This Row],[Children_transferred_out_of_CBP_custody]])</f>
        <v>2.5609756097560976</v>
      </c>
    </row>
    <row r="91" spans="1:18" x14ac:dyDescent="0.3">
      <c r="A91">
        <v>90</v>
      </c>
      <c r="B91" s="7">
        <v>45078</v>
      </c>
      <c r="C91" s="5">
        <v>56</v>
      </c>
      <c r="D91" s="5">
        <v>82</v>
      </c>
      <c r="E91" s="5">
        <v>68</v>
      </c>
      <c r="F91" s="5">
        <v>7002</v>
      </c>
      <c r="G91" s="5">
        <v>287</v>
      </c>
      <c r="H91" t="str">
        <f t="shared" si="6"/>
        <v>Valid</v>
      </c>
      <c r="I91" t="str">
        <f t="shared" si="7"/>
        <v>Valid</v>
      </c>
      <c r="J91" s="5">
        <f t="shared" si="8"/>
        <v>6715</v>
      </c>
      <c r="K91" s="5">
        <f t="shared" si="9"/>
        <v>7084</v>
      </c>
      <c r="L91" s="5">
        <f>IF(Table1[[#This Row],[Total_System_Load]]&gt;80%*AVERAGE(Table1[Total_System_Load]),Table1[[#This Row],[Total_System_Load]]-Table1[[#This Row],[Total_Children_Under_Care]],0)</f>
        <v>369</v>
      </c>
      <c r="M91" s="5">
        <f t="shared" si="5"/>
        <v>-219</v>
      </c>
      <c r="N91" s="5">
        <f>M92-Table1[[#This Row],[Net_Daily_Intake]]</f>
        <v>7</v>
      </c>
      <c r="O91" s="5">
        <f>M92-Table1[[#This Row],[Net_Daily_Intake]]/Table1[[#This Row],[Net_Daily_Intake]]</f>
        <v>-213</v>
      </c>
      <c r="P91" t="str">
        <f>IF(Table1[[#This Row],[Change_in_Net_Daily_Intake]]&gt;0,"Sustained Positive","Negative")</f>
        <v>Sustained Positive</v>
      </c>
      <c r="Q91" s="1">
        <f>(Table1[[#This Row],[Total_System_Load]]-Table1[[#This Row],[Total_Children_Under_Care]])/Table1[[#This Row],[Total_Children_Under_Care]]*100</f>
        <v>5.495160089352197</v>
      </c>
      <c r="R91" s="1">
        <f>(Table1[[#This Row],[Children_discharged _from_HHS_ Care]]/Table1[[#This Row],[Children_transferred_out_of_CBP_custody]])</f>
        <v>4.2205882352941178</v>
      </c>
    </row>
    <row r="92" spans="1:18" x14ac:dyDescent="0.3">
      <c r="A92">
        <v>91</v>
      </c>
      <c r="B92" s="7">
        <v>45081</v>
      </c>
      <c r="C92" s="5">
        <v>74</v>
      </c>
      <c r="D92" s="5">
        <v>103</v>
      </c>
      <c r="E92" s="5">
        <v>80</v>
      </c>
      <c r="F92" s="5">
        <v>6555</v>
      </c>
      <c r="G92" s="5">
        <v>292</v>
      </c>
      <c r="H92" t="str">
        <f t="shared" si="6"/>
        <v>Valid</v>
      </c>
      <c r="I92" t="str">
        <f t="shared" si="7"/>
        <v>Valid</v>
      </c>
      <c r="J92" s="5">
        <f t="shared" si="8"/>
        <v>6263</v>
      </c>
      <c r="K92" s="5">
        <f t="shared" si="9"/>
        <v>6658</v>
      </c>
      <c r="L92" s="5">
        <f>IF(Table1[[#This Row],[Total_System_Load]]&gt;80%*AVERAGE(Table1[Total_System_Load]),Table1[[#This Row],[Total_System_Load]]-Table1[[#This Row],[Total_Children_Under_Care]],0)</f>
        <v>395</v>
      </c>
      <c r="M92" s="5">
        <f t="shared" si="5"/>
        <v>-212</v>
      </c>
      <c r="N92" s="5">
        <f>M93-Table1[[#This Row],[Net_Daily_Intake]]</f>
        <v>125</v>
      </c>
      <c r="O92" s="5">
        <f>M93-Table1[[#This Row],[Net_Daily_Intake]]/Table1[[#This Row],[Net_Daily_Intake]]</f>
        <v>-88</v>
      </c>
      <c r="P92" t="str">
        <f>IF(Table1[[#This Row],[Change_in_Net_Daily_Intake]]&gt;0,"Sustained Positive","Negative")</f>
        <v>Sustained Positive</v>
      </c>
      <c r="Q92" s="1">
        <f>(Table1[[#This Row],[Total_System_Load]]-Table1[[#This Row],[Total_Children_Under_Care]])/Table1[[#This Row],[Total_Children_Under_Care]]*100</f>
        <v>6.3068816860929271</v>
      </c>
      <c r="R92" s="1">
        <f>(Table1[[#This Row],[Children_discharged _from_HHS_ Care]]/Table1[[#This Row],[Children_transferred_out_of_CBP_custody]])</f>
        <v>3.65</v>
      </c>
    </row>
    <row r="93" spans="1:18" x14ac:dyDescent="0.3">
      <c r="A93">
        <v>92</v>
      </c>
      <c r="B93" s="7">
        <v>45082</v>
      </c>
      <c r="C93" s="5">
        <v>68</v>
      </c>
      <c r="D93" s="5">
        <v>107</v>
      </c>
      <c r="E93" s="5">
        <v>102</v>
      </c>
      <c r="F93" s="5">
        <v>6523</v>
      </c>
      <c r="G93" s="5">
        <v>189</v>
      </c>
      <c r="H93" t="str">
        <f t="shared" si="6"/>
        <v>Valid</v>
      </c>
      <c r="I93" t="str">
        <f t="shared" si="7"/>
        <v>Valid</v>
      </c>
      <c r="J93" s="5">
        <f t="shared" si="8"/>
        <v>6334</v>
      </c>
      <c r="K93" s="5">
        <f t="shared" si="9"/>
        <v>6630</v>
      </c>
      <c r="L93" s="5">
        <f>IF(Table1[[#This Row],[Total_System_Load]]&gt;80%*AVERAGE(Table1[Total_System_Load]),Table1[[#This Row],[Total_System_Load]]-Table1[[#This Row],[Total_Children_Under_Care]],0)</f>
        <v>296</v>
      </c>
      <c r="M93" s="5">
        <f t="shared" si="5"/>
        <v>-87</v>
      </c>
      <c r="N93" s="5">
        <f>M94-Table1[[#This Row],[Net_Daily_Intake]]</f>
        <v>-7</v>
      </c>
      <c r="O93" s="5">
        <f>M94-Table1[[#This Row],[Net_Daily_Intake]]/Table1[[#This Row],[Net_Daily_Intake]]</f>
        <v>-95</v>
      </c>
      <c r="P93" t="str">
        <f>IF(Table1[[#This Row],[Change_in_Net_Daily_Intake]]&gt;0,"Sustained Positive","Negative")</f>
        <v>Negative</v>
      </c>
      <c r="Q93" s="1">
        <f>(Table1[[#This Row],[Total_System_Load]]-Table1[[#This Row],[Total_Children_Under_Care]])/Table1[[#This Row],[Total_Children_Under_Care]]*100</f>
        <v>4.6731922955478371</v>
      </c>
      <c r="R93" s="1">
        <f>(Table1[[#This Row],[Children_discharged _from_HHS_ Care]]/Table1[[#This Row],[Children_transferred_out_of_CBP_custody]])</f>
        <v>1.8529411764705883</v>
      </c>
    </row>
    <row r="94" spans="1:18" x14ac:dyDescent="0.3">
      <c r="A94">
        <v>93</v>
      </c>
      <c r="B94" s="7">
        <v>45083</v>
      </c>
      <c r="C94" s="5">
        <v>92</v>
      </c>
      <c r="D94" s="5">
        <v>124</v>
      </c>
      <c r="E94" s="5">
        <v>93</v>
      </c>
      <c r="F94" s="5">
        <v>6508</v>
      </c>
      <c r="G94" s="5">
        <v>187</v>
      </c>
      <c r="H94" t="str">
        <f t="shared" si="6"/>
        <v>Valid</v>
      </c>
      <c r="I94" t="str">
        <f t="shared" si="7"/>
        <v>Valid</v>
      </c>
      <c r="J94" s="5">
        <f t="shared" si="8"/>
        <v>6321</v>
      </c>
      <c r="K94" s="5">
        <f t="shared" si="9"/>
        <v>6632</v>
      </c>
      <c r="L94" s="5">
        <f>IF(Table1[[#This Row],[Total_System_Load]]&gt;80%*AVERAGE(Table1[Total_System_Load]),Table1[[#This Row],[Total_System_Load]]-Table1[[#This Row],[Total_Children_Under_Care]],0)</f>
        <v>311</v>
      </c>
      <c r="M94" s="5">
        <f t="shared" si="5"/>
        <v>-94</v>
      </c>
      <c r="N94" s="5">
        <f>M95-Table1[[#This Row],[Net_Daily_Intake]]</f>
        <v>-7</v>
      </c>
      <c r="O94" s="5">
        <f>M95-Table1[[#This Row],[Net_Daily_Intake]]/Table1[[#This Row],[Net_Daily_Intake]]</f>
        <v>-102</v>
      </c>
      <c r="P94" t="str">
        <f>IF(Table1[[#This Row],[Change_in_Net_Daily_Intake]]&gt;0,"Sustained Positive","Negative")</f>
        <v>Negative</v>
      </c>
      <c r="Q94" s="1">
        <f>(Table1[[#This Row],[Total_System_Load]]-Table1[[#This Row],[Total_Children_Under_Care]])/Table1[[#This Row],[Total_Children_Under_Care]]*100</f>
        <v>4.9201075779148864</v>
      </c>
      <c r="R94" s="1">
        <f>(Table1[[#This Row],[Children_discharged _from_HHS_ Care]]/Table1[[#This Row],[Children_transferred_out_of_CBP_custody]])</f>
        <v>2.010752688172043</v>
      </c>
    </row>
    <row r="95" spans="1:18" x14ac:dyDescent="0.3">
      <c r="A95">
        <v>94</v>
      </c>
      <c r="B95" s="7">
        <v>45084</v>
      </c>
      <c r="C95" s="5">
        <v>113</v>
      </c>
      <c r="D95" s="5">
        <v>162</v>
      </c>
      <c r="E95" s="5">
        <v>107</v>
      </c>
      <c r="F95" s="5">
        <v>6483</v>
      </c>
      <c r="G95" s="5">
        <v>208</v>
      </c>
      <c r="H95" t="str">
        <f t="shared" si="6"/>
        <v>Valid</v>
      </c>
      <c r="I95" t="str">
        <f t="shared" si="7"/>
        <v>Valid</v>
      </c>
      <c r="J95" s="5">
        <f t="shared" si="8"/>
        <v>6275</v>
      </c>
      <c r="K95" s="5">
        <f t="shared" si="9"/>
        <v>6645</v>
      </c>
      <c r="L95" s="5">
        <f>IF(Table1[[#This Row],[Total_System_Load]]&gt;80%*AVERAGE(Table1[Total_System_Load]),Table1[[#This Row],[Total_System_Load]]-Table1[[#This Row],[Total_Children_Under_Care]],0)</f>
        <v>370</v>
      </c>
      <c r="M95" s="5">
        <f t="shared" si="5"/>
        <v>-101</v>
      </c>
      <c r="N95" s="5">
        <f>M96-Table1[[#This Row],[Net_Daily_Intake]]</f>
        <v>-23</v>
      </c>
      <c r="O95" s="5">
        <f>M96-Table1[[#This Row],[Net_Daily_Intake]]/Table1[[#This Row],[Net_Daily_Intake]]</f>
        <v>-125</v>
      </c>
      <c r="P95" t="str">
        <f>IF(Table1[[#This Row],[Change_in_Net_Daily_Intake]]&gt;0,"Sustained Positive","Negative")</f>
        <v>Negative</v>
      </c>
      <c r="Q95" s="1">
        <f>(Table1[[#This Row],[Total_System_Load]]-Table1[[#This Row],[Total_Children_Under_Care]])/Table1[[#This Row],[Total_Children_Under_Care]]*100</f>
        <v>5.8964143426294822</v>
      </c>
      <c r="R95" s="1">
        <f>(Table1[[#This Row],[Children_discharged _from_HHS_ Care]]/Table1[[#This Row],[Children_transferred_out_of_CBP_custody]])</f>
        <v>1.9439252336448598</v>
      </c>
    </row>
    <row r="96" spans="1:18" x14ac:dyDescent="0.3">
      <c r="A96">
        <v>95</v>
      </c>
      <c r="B96" s="7">
        <v>45085</v>
      </c>
      <c r="C96" s="5">
        <v>106</v>
      </c>
      <c r="D96" s="5">
        <v>196</v>
      </c>
      <c r="E96" s="5">
        <v>131</v>
      </c>
      <c r="F96" s="5">
        <v>6446</v>
      </c>
      <c r="G96" s="5">
        <v>255</v>
      </c>
      <c r="H96" t="str">
        <f t="shared" si="6"/>
        <v>Valid</v>
      </c>
      <c r="I96" t="str">
        <f t="shared" si="7"/>
        <v>Valid</v>
      </c>
      <c r="J96" s="5">
        <f t="shared" si="8"/>
        <v>6191</v>
      </c>
      <c r="K96" s="5">
        <f t="shared" si="9"/>
        <v>6642</v>
      </c>
      <c r="L96" s="5">
        <f>IF(Table1[[#This Row],[Total_System_Load]]&gt;80%*AVERAGE(Table1[Total_System_Load]),Table1[[#This Row],[Total_System_Load]]-Table1[[#This Row],[Total_Children_Under_Care]],0)</f>
        <v>451</v>
      </c>
      <c r="M96" s="5">
        <f t="shared" si="5"/>
        <v>-124</v>
      </c>
      <c r="N96" s="5">
        <f>M97-Table1[[#This Row],[Net_Daily_Intake]]</f>
        <v>54</v>
      </c>
      <c r="O96" s="5">
        <f>M97-Table1[[#This Row],[Net_Daily_Intake]]/Table1[[#This Row],[Net_Daily_Intake]]</f>
        <v>-71</v>
      </c>
      <c r="P96" t="str">
        <f>IF(Table1[[#This Row],[Change_in_Net_Daily_Intake]]&gt;0,"Sustained Positive","Negative")</f>
        <v>Sustained Positive</v>
      </c>
      <c r="Q96" s="1">
        <f>(Table1[[#This Row],[Total_System_Load]]-Table1[[#This Row],[Total_Children_Under_Care]])/Table1[[#This Row],[Total_Children_Under_Care]]*100</f>
        <v>7.2847682119205297</v>
      </c>
      <c r="R96" s="1">
        <f>(Table1[[#This Row],[Children_discharged _from_HHS_ Care]]/Table1[[#This Row],[Children_transferred_out_of_CBP_custody]])</f>
        <v>1.9465648854961832</v>
      </c>
    </row>
    <row r="97" spans="1:18" x14ac:dyDescent="0.3">
      <c r="A97">
        <v>96</v>
      </c>
      <c r="B97" s="7">
        <v>45088</v>
      </c>
      <c r="C97" s="5">
        <v>86</v>
      </c>
      <c r="D97" s="5">
        <v>152</v>
      </c>
      <c r="E97" s="5">
        <v>168</v>
      </c>
      <c r="F97" s="5">
        <v>6007</v>
      </c>
      <c r="G97" s="5">
        <v>238</v>
      </c>
      <c r="H97" t="str">
        <f t="shared" si="6"/>
        <v>Invalid</v>
      </c>
      <c r="I97" t="str">
        <f t="shared" si="7"/>
        <v>Valid</v>
      </c>
      <c r="J97" s="5">
        <f t="shared" si="8"/>
        <v>5769</v>
      </c>
      <c r="K97" s="5">
        <f t="shared" si="9"/>
        <v>6159</v>
      </c>
      <c r="L97" s="5">
        <f>IF(Table1[[#This Row],[Total_System_Load]]&gt;80%*AVERAGE(Table1[Total_System_Load]),Table1[[#This Row],[Total_System_Load]]-Table1[[#This Row],[Total_Children_Under_Care]],0)</f>
        <v>390</v>
      </c>
      <c r="M97" s="5">
        <f t="shared" si="5"/>
        <v>-70</v>
      </c>
      <c r="N97" s="5">
        <f>M98-Table1[[#This Row],[Net_Daily_Intake]]</f>
        <v>29</v>
      </c>
      <c r="O97" s="5">
        <f>M98-Table1[[#This Row],[Net_Daily_Intake]]/Table1[[#This Row],[Net_Daily_Intake]]</f>
        <v>-42</v>
      </c>
      <c r="P97" t="str">
        <f>IF(Table1[[#This Row],[Change_in_Net_Daily_Intake]]&gt;0,"Sustained Positive","Negative")</f>
        <v>Sustained Positive</v>
      </c>
      <c r="Q97" s="1">
        <f>(Table1[[#This Row],[Total_System_Load]]-Table1[[#This Row],[Total_Children_Under_Care]])/Table1[[#This Row],[Total_Children_Under_Care]]*100</f>
        <v>6.7602704108164327</v>
      </c>
      <c r="R97" s="1">
        <f>(Table1[[#This Row],[Children_discharged _from_HHS_ Care]]/Table1[[#This Row],[Children_transferred_out_of_CBP_custody]])</f>
        <v>1.4166666666666667</v>
      </c>
    </row>
    <row r="98" spans="1:18" x14ac:dyDescent="0.3">
      <c r="A98">
        <v>97</v>
      </c>
      <c r="B98" s="7">
        <v>45089</v>
      </c>
      <c r="C98" s="5">
        <v>84</v>
      </c>
      <c r="D98" s="5">
        <v>118</v>
      </c>
      <c r="E98" s="5">
        <v>136</v>
      </c>
      <c r="F98" s="5">
        <v>6021</v>
      </c>
      <c r="G98" s="5">
        <v>177</v>
      </c>
      <c r="H98" t="str">
        <f t="shared" si="6"/>
        <v>Invalid</v>
      </c>
      <c r="I98" t="str">
        <f t="shared" si="7"/>
        <v>Valid</v>
      </c>
      <c r="J98" s="5">
        <f t="shared" si="8"/>
        <v>5844</v>
      </c>
      <c r="K98" s="5">
        <f t="shared" si="9"/>
        <v>6139</v>
      </c>
      <c r="L98" s="5">
        <f>IF(Table1[[#This Row],[Total_System_Load]]&gt;80%*AVERAGE(Table1[Total_System_Load]),Table1[[#This Row],[Total_System_Load]]-Table1[[#This Row],[Total_Children_Under_Care]],0)</f>
        <v>295</v>
      </c>
      <c r="M98" s="5">
        <f t="shared" si="5"/>
        <v>-41</v>
      </c>
      <c r="N98" s="5">
        <f>M99-Table1[[#This Row],[Net_Daily_Intake]]</f>
        <v>12</v>
      </c>
      <c r="O98" s="5">
        <f>M99-Table1[[#This Row],[Net_Daily_Intake]]/Table1[[#This Row],[Net_Daily_Intake]]</f>
        <v>-30</v>
      </c>
      <c r="P98" t="str">
        <f>IF(Table1[[#This Row],[Change_in_Net_Daily_Intake]]&gt;0,"Sustained Positive","Negative")</f>
        <v>Sustained Positive</v>
      </c>
      <c r="Q98" s="1">
        <f>(Table1[[#This Row],[Total_System_Load]]-Table1[[#This Row],[Total_Children_Under_Care]])/Table1[[#This Row],[Total_Children_Under_Care]]*100</f>
        <v>5.0479123887748116</v>
      </c>
      <c r="R98" s="1">
        <f>(Table1[[#This Row],[Children_discharged _from_HHS_ Care]]/Table1[[#This Row],[Children_transferred_out_of_CBP_custody]])</f>
        <v>1.3014705882352942</v>
      </c>
    </row>
    <row r="99" spans="1:18" x14ac:dyDescent="0.3">
      <c r="A99">
        <v>98</v>
      </c>
      <c r="B99" s="7">
        <v>45090</v>
      </c>
      <c r="C99" s="5">
        <v>59</v>
      </c>
      <c r="D99" s="5">
        <v>64</v>
      </c>
      <c r="E99" s="5">
        <v>117</v>
      </c>
      <c r="F99" s="5">
        <v>6061</v>
      </c>
      <c r="G99" s="5">
        <v>146</v>
      </c>
      <c r="H99" t="str">
        <f t="shared" si="6"/>
        <v>Invalid</v>
      </c>
      <c r="I99" t="str">
        <f t="shared" si="7"/>
        <v>Valid</v>
      </c>
      <c r="J99" s="5">
        <f t="shared" si="8"/>
        <v>5915</v>
      </c>
      <c r="K99" s="5">
        <f t="shared" si="9"/>
        <v>6125</v>
      </c>
      <c r="L99" s="5">
        <f>IF(Table1[[#This Row],[Total_System_Load]]&gt;80%*AVERAGE(Table1[Total_System_Load]),Table1[[#This Row],[Total_System_Load]]-Table1[[#This Row],[Total_Children_Under_Care]],0)</f>
        <v>210</v>
      </c>
      <c r="M99" s="5">
        <f t="shared" si="5"/>
        <v>-29</v>
      </c>
      <c r="N99" s="5">
        <f>M100-Table1[[#This Row],[Net_Daily_Intake]]</f>
        <v>-86</v>
      </c>
      <c r="O99" s="5">
        <f>M100-Table1[[#This Row],[Net_Daily_Intake]]/Table1[[#This Row],[Net_Daily_Intake]]</f>
        <v>-116</v>
      </c>
      <c r="P99" t="str">
        <f>IF(Table1[[#This Row],[Change_in_Net_Daily_Intake]]&gt;0,"Sustained Positive","Negative")</f>
        <v>Negative</v>
      </c>
      <c r="Q99" s="1">
        <f>(Table1[[#This Row],[Total_System_Load]]-Table1[[#This Row],[Total_Children_Under_Care]])/Table1[[#This Row],[Total_Children_Under_Care]]*100</f>
        <v>3.5502958579881656</v>
      </c>
      <c r="R99" s="1">
        <f>(Table1[[#This Row],[Children_discharged _from_HHS_ Care]]/Table1[[#This Row],[Children_transferred_out_of_CBP_custody]])</f>
        <v>1.2478632478632479</v>
      </c>
    </row>
    <row r="100" spans="1:18" x14ac:dyDescent="0.3">
      <c r="A100">
        <v>99</v>
      </c>
      <c r="B100" s="7">
        <v>45091</v>
      </c>
      <c r="C100" s="5">
        <v>62</v>
      </c>
      <c r="D100" s="5">
        <v>97</v>
      </c>
      <c r="E100" s="5">
        <v>52</v>
      </c>
      <c r="F100" s="5">
        <v>6065</v>
      </c>
      <c r="G100" s="5">
        <v>167</v>
      </c>
      <c r="H100" t="str">
        <f t="shared" si="6"/>
        <v>Valid</v>
      </c>
      <c r="I100" t="str">
        <f t="shared" si="7"/>
        <v>Valid</v>
      </c>
      <c r="J100" s="5">
        <f t="shared" si="8"/>
        <v>5898</v>
      </c>
      <c r="K100" s="5">
        <f t="shared" si="9"/>
        <v>6162</v>
      </c>
      <c r="L100" s="5">
        <f>IF(Table1[[#This Row],[Total_System_Load]]&gt;80%*AVERAGE(Table1[Total_System_Load]),Table1[[#This Row],[Total_System_Load]]-Table1[[#This Row],[Total_Children_Under_Care]],0)</f>
        <v>264</v>
      </c>
      <c r="M100" s="5">
        <f t="shared" si="5"/>
        <v>-115</v>
      </c>
      <c r="N100" s="5">
        <f>M101-Table1[[#This Row],[Net_Daily_Intake]]</f>
        <v>-60</v>
      </c>
      <c r="O100" s="5">
        <f>M101-Table1[[#This Row],[Net_Daily_Intake]]/Table1[[#This Row],[Net_Daily_Intake]]</f>
        <v>-176</v>
      </c>
      <c r="P100" t="str">
        <f>IF(Table1[[#This Row],[Change_in_Net_Daily_Intake]]&gt;0,"Sustained Positive","Negative")</f>
        <v>Negative</v>
      </c>
      <c r="Q100" s="1">
        <f>(Table1[[#This Row],[Total_System_Load]]-Table1[[#This Row],[Total_Children_Under_Care]])/Table1[[#This Row],[Total_Children_Under_Care]]*100</f>
        <v>4.4760935910478121</v>
      </c>
      <c r="R100" s="1">
        <f>(Table1[[#This Row],[Children_discharged _from_HHS_ Care]]/Table1[[#This Row],[Children_transferred_out_of_CBP_custody]])</f>
        <v>3.2115384615384617</v>
      </c>
    </row>
    <row r="101" spans="1:18" x14ac:dyDescent="0.3">
      <c r="A101">
        <v>100</v>
      </c>
      <c r="B101" s="7">
        <v>45092</v>
      </c>
      <c r="C101" s="5">
        <v>91</v>
      </c>
      <c r="D101" s="5">
        <v>75</v>
      </c>
      <c r="E101" s="5">
        <v>97</v>
      </c>
      <c r="F101" s="5">
        <v>6038</v>
      </c>
      <c r="G101" s="5">
        <v>272</v>
      </c>
      <c r="H101" t="str">
        <f t="shared" si="6"/>
        <v>Invalid</v>
      </c>
      <c r="I101" t="str">
        <f t="shared" si="7"/>
        <v>Valid</v>
      </c>
      <c r="J101" s="5">
        <f t="shared" si="8"/>
        <v>5766</v>
      </c>
      <c r="K101" s="5">
        <f t="shared" si="9"/>
        <v>6113</v>
      </c>
      <c r="L101" s="5">
        <f>IF(Table1[[#This Row],[Total_System_Load]]&gt;80%*AVERAGE(Table1[Total_System_Load]),Table1[[#This Row],[Total_System_Load]]-Table1[[#This Row],[Total_Children_Under_Care]],0)</f>
        <v>347</v>
      </c>
      <c r="M101" s="5">
        <f t="shared" si="5"/>
        <v>-175</v>
      </c>
      <c r="N101" s="5">
        <f>M102-Table1[[#This Row],[Net_Daily_Intake]]</f>
        <v>44</v>
      </c>
      <c r="O101" s="5">
        <f>M102-Table1[[#This Row],[Net_Daily_Intake]]/Table1[[#This Row],[Net_Daily_Intake]]</f>
        <v>-132</v>
      </c>
      <c r="P101" t="str">
        <f>IF(Table1[[#This Row],[Change_in_Net_Daily_Intake]]&gt;0,"Sustained Positive","Negative")</f>
        <v>Sustained Positive</v>
      </c>
      <c r="Q101" s="1">
        <f>(Table1[[#This Row],[Total_System_Load]]-Table1[[#This Row],[Total_Children_Under_Care]])/Table1[[#This Row],[Total_Children_Under_Care]]*100</f>
        <v>6.01803676725633</v>
      </c>
      <c r="R101" s="1">
        <f>(Table1[[#This Row],[Children_discharged _from_HHS_ Care]]/Table1[[#This Row],[Children_transferred_out_of_CBP_custody]])</f>
        <v>2.804123711340206</v>
      </c>
    </row>
    <row r="102" spans="1:18" x14ac:dyDescent="0.3">
      <c r="A102">
        <v>101</v>
      </c>
      <c r="B102" s="7">
        <v>45096</v>
      </c>
      <c r="C102" s="5">
        <v>29</v>
      </c>
      <c r="D102" s="5">
        <v>51</v>
      </c>
      <c r="E102" s="5">
        <v>11</v>
      </c>
      <c r="F102" s="5">
        <v>5679</v>
      </c>
      <c r="G102" s="5">
        <v>142</v>
      </c>
      <c r="H102" t="str">
        <f t="shared" si="6"/>
        <v>Valid</v>
      </c>
      <c r="I102" t="str">
        <f t="shared" si="7"/>
        <v>Valid</v>
      </c>
      <c r="J102" s="5">
        <f t="shared" si="8"/>
        <v>5537</v>
      </c>
      <c r="K102" s="5">
        <f t="shared" si="9"/>
        <v>5730</v>
      </c>
      <c r="L102" s="5">
        <f>IF(Table1[[#This Row],[Total_System_Load]]&gt;80%*AVERAGE(Table1[Total_System_Load]),Table1[[#This Row],[Total_System_Load]]-Table1[[#This Row],[Total_Children_Under_Care]],0)</f>
        <v>193</v>
      </c>
      <c r="M102" s="5">
        <f t="shared" si="5"/>
        <v>-131</v>
      </c>
      <c r="N102" s="5">
        <f>M103-Table1[[#This Row],[Net_Daily_Intake]]</f>
        <v>31</v>
      </c>
      <c r="O102" s="5">
        <f>M103-Table1[[#This Row],[Net_Daily_Intake]]/Table1[[#This Row],[Net_Daily_Intake]]</f>
        <v>-101</v>
      </c>
      <c r="P102" t="str">
        <f>IF(Table1[[#This Row],[Change_in_Net_Daily_Intake]]&gt;0,"Sustained Positive","Negative")</f>
        <v>Sustained Positive</v>
      </c>
      <c r="Q102" s="1">
        <f>(Table1[[#This Row],[Total_System_Load]]-Table1[[#This Row],[Total_Children_Under_Care]])/Table1[[#This Row],[Total_Children_Under_Care]]*100</f>
        <v>3.4856420444283907</v>
      </c>
      <c r="R102" s="1">
        <f>(Table1[[#This Row],[Children_discharged _from_HHS_ Care]]/Table1[[#This Row],[Children_transferred_out_of_CBP_custody]])</f>
        <v>12.909090909090908</v>
      </c>
    </row>
    <row r="103" spans="1:18" x14ac:dyDescent="0.3">
      <c r="A103">
        <v>102</v>
      </c>
      <c r="B103" s="7">
        <v>45097</v>
      </c>
      <c r="C103" s="5">
        <v>33</v>
      </c>
      <c r="D103" s="5">
        <v>53</v>
      </c>
      <c r="E103" s="5">
        <v>34</v>
      </c>
      <c r="F103" s="5">
        <v>5904</v>
      </c>
      <c r="G103" s="5">
        <v>134</v>
      </c>
      <c r="H103" t="str">
        <f t="shared" si="6"/>
        <v>Valid</v>
      </c>
      <c r="I103" t="str">
        <f t="shared" si="7"/>
        <v>Valid</v>
      </c>
      <c r="J103" s="5">
        <f t="shared" si="8"/>
        <v>5770</v>
      </c>
      <c r="K103" s="5">
        <f t="shared" si="9"/>
        <v>5957</v>
      </c>
      <c r="L103" s="5">
        <f>IF(Table1[[#This Row],[Total_System_Load]]&gt;80%*AVERAGE(Table1[Total_System_Load]),Table1[[#This Row],[Total_System_Load]]-Table1[[#This Row],[Total_Children_Under_Care]],0)</f>
        <v>187</v>
      </c>
      <c r="M103" s="5">
        <f t="shared" si="5"/>
        <v>-100</v>
      </c>
      <c r="N103" s="5">
        <f>M104-Table1[[#This Row],[Net_Daily_Intake]]</f>
        <v>120</v>
      </c>
      <c r="O103" s="5">
        <f>M104-Table1[[#This Row],[Net_Daily_Intake]]/Table1[[#This Row],[Net_Daily_Intake]]</f>
        <v>19</v>
      </c>
      <c r="P103" t="str">
        <f>IF(Table1[[#This Row],[Change_in_Net_Daily_Intake]]&gt;0,"Sustained Positive","Negative")</f>
        <v>Sustained Positive</v>
      </c>
      <c r="Q103" s="1">
        <f>(Table1[[#This Row],[Total_System_Load]]-Table1[[#This Row],[Total_Children_Under_Care]])/Table1[[#This Row],[Total_Children_Under_Care]]*100</f>
        <v>3.2409012131715773</v>
      </c>
      <c r="R103" s="1">
        <f>(Table1[[#This Row],[Children_discharged _from_HHS_ Care]]/Table1[[#This Row],[Children_transferred_out_of_CBP_custody]])</f>
        <v>3.9411764705882355</v>
      </c>
    </row>
    <row r="104" spans="1:18" x14ac:dyDescent="0.3">
      <c r="A104">
        <v>103</v>
      </c>
      <c r="B104" s="7">
        <v>45098</v>
      </c>
      <c r="C104" s="5">
        <v>93</v>
      </c>
      <c r="D104" s="5">
        <v>196</v>
      </c>
      <c r="E104" s="5">
        <v>169</v>
      </c>
      <c r="F104" s="5">
        <v>5922</v>
      </c>
      <c r="G104" s="5">
        <v>149</v>
      </c>
      <c r="H104" t="str">
        <f t="shared" si="6"/>
        <v>Valid</v>
      </c>
      <c r="I104" t="str">
        <f t="shared" si="7"/>
        <v>Valid</v>
      </c>
      <c r="J104" s="5">
        <f t="shared" si="8"/>
        <v>5773</v>
      </c>
      <c r="K104" s="5">
        <f t="shared" si="9"/>
        <v>6118</v>
      </c>
      <c r="L104" s="5">
        <f>IF(Table1[[#This Row],[Total_System_Load]]&gt;80%*AVERAGE(Table1[Total_System_Load]),Table1[[#This Row],[Total_System_Load]]-Table1[[#This Row],[Total_Children_Under_Care]],0)</f>
        <v>345</v>
      </c>
      <c r="M104" s="5">
        <f t="shared" si="5"/>
        <v>20</v>
      </c>
      <c r="N104" s="5">
        <f>M105-Table1[[#This Row],[Net_Daily_Intake]]</f>
        <v>-66</v>
      </c>
      <c r="O104" s="5">
        <f>M105-Table1[[#This Row],[Net_Daily_Intake]]/Table1[[#This Row],[Net_Daily_Intake]]</f>
        <v>-47</v>
      </c>
      <c r="P104" t="str">
        <f>IF(Table1[[#This Row],[Change_in_Net_Daily_Intake]]&gt;0,"Sustained Positive","Negative")</f>
        <v>Negative</v>
      </c>
      <c r="Q104" s="1">
        <f>(Table1[[#This Row],[Total_System_Load]]-Table1[[#This Row],[Total_Children_Under_Care]])/Table1[[#This Row],[Total_Children_Under_Care]]*100</f>
        <v>5.9760956175298805</v>
      </c>
      <c r="R104" s="1">
        <f>(Table1[[#This Row],[Children_discharged _from_HHS_ Care]]/Table1[[#This Row],[Children_transferred_out_of_CBP_custody]])</f>
        <v>0.88165680473372776</v>
      </c>
    </row>
    <row r="105" spans="1:18" x14ac:dyDescent="0.3">
      <c r="A105">
        <v>104</v>
      </c>
      <c r="B105" s="7">
        <v>45099</v>
      </c>
      <c r="C105" s="5">
        <v>124</v>
      </c>
      <c r="D105" s="5">
        <v>234</v>
      </c>
      <c r="E105" s="5">
        <v>161</v>
      </c>
      <c r="F105" s="5">
        <v>5956</v>
      </c>
      <c r="G105" s="5">
        <v>207</v>
      </c>
      <c r="H105" t="str">
        <f t="shared" si="6"/>
        <v>Valid</v>
      </c>
      <c r="I105" t="str">
        <f t="shared" si="7"/>
        <v>Valid</v>
      </c>
      <c r="J105" s="5">
        <f t="shared" si="8"/>
        <v>5749</v>
      </c>
      <c r="K105" s="5">
        <f t="shared" si="9"/>
        <v>6190</v>
      </c>
      <c r="L105" s="5">
        <f>IF(Table1[[#This Row],[Total_System_Load]]&gt;80%*AVERAGE(Table1[Total_System_Load]),Table1[[#This Row],[Total_System_Load]]-Table1[[#This Row],[Total_Children_Under_Care]],0)</f>
        <v>441</v>
      </c>
      <c r="M105" s="5">
        <f t="shared" si="5"/>
        <v>-46</v>
      </c>
      <c r="N105" s="5">
        <f>M106-Table1[[#This Row],[Net_Daily_Intake]]</f>
        <v>-44</v>
      </c>
      <c r="O105" s="5">
        <f>M106-Table1[[#This Row],[Net_Daily_Intake]]/Table1[[#This Row],[Net_Daily_Intake]]</f>
        <v>-91</v>
      </c>
      <c r="P105" t="str">
        <f>IF(Table1[[#This Row],[Change_in_Net_Daily_Intake]]&gt;0,"Sustained Positive","Negative")</f>
        <v>Negative</v>
      </c>
      <c r="Q105" s="1">
        <f>(Table1[[#This Row],[Total_System_Load]]-Table1[[#This Row],[Total_Children_Under_Care]])/Table1[[#This Row],[Total_Children_Under_Care]]*100</f>
        <v>7.6708992868324932</v>
      </c>
      <c r="R105" s="1">
        <f>(Table1[[#This Row],[Children_discharged _from_HHS_ Care]]/Table1[[#This Row],[Children_transferred_out_of_CBP_custody]])</f>
        <v>1.2857142857142858</v>
      </c>
    </row>
    <row r="106" spans="1:18" x14ac:dyDescent="0.3">
      <c r="A106">
        <v>105</v>
      </c>
      <c r="B106" s="7">
        <v>45102</v>
      </c>
      <c r="C106" s="5">
        <v>92</v>
      </c>
      <c r="D106" s="5">
        <v>203</v>
      </c>
      <c r="E106" s="5">
        <v>173</v>
      </c>
      <c r="F106" s="5">
        <v>5766</v>
      </c>
      <c r="G106" s="5">
        <v>263</v>
      </c>
      <c r="H106" t="str">
        <f t="shared" si="6"/>
        <v>Valid</v>
      </c>
      <c r="I106" t="str">
        <f t="shared" si="7"/>
        <v>Valid</v>
      </c>
      <c r="J106" s="5">
        <f t="shared" si="8"/>
        <v>5503</v>
      </c>
      <c r="K106" s="5">
        <f t="shared" si="9"/>
        <v>5969</v>
      </c>
      <c r="L106" s="5">
        <f>IF(Table1[[#This Row],[Total_System_Load]]&gt;80%*AVERAGE(Table1[Total_System_Load]),Table1[[#This Row],[Total_System_Load]]-Table1[[#This Row],[Total_Children_Under_Care]],0)</f>
        <v>466</v>
      </c>
      <c r="M106" s="5">
        <f t="shared" si="5"/>
        <v>-90</v>
      </c>
      <c r="N106" s="5">
        <f>M107-Table1[[#This Row],[Net_Daily_Intake]]</f>
        <v>88</v>
      </c>
      <c r="O106" s="5">
        <f>M107-Table1[[#This Row],[Net_Daily_Intake]]/Table1[[#This Row],[Net_Daily_Intake]]</f>
        <v>-3</v>
      </c>
      <c r="P106" t="str">
        <f>IF(Table1[[#This Row],[Change_in_Net_Daily_Intake]]&gt;0,"Sustained Positive","Negative")</f>
        <v>Sustained Positive</v>
      </c>
      <c r="Q106" s="1">
        <f>(Table1[[#This Row],[Total_System_Load]]-Table1[[#This Row],[Total_Children_Under_Care]])/Table1[[#This Row],[Total_Children_Under_Care]]*100</f>
        <v>8.4681083045611487</v>
      </c>
      <c r="R106" s="1">
        <f>(Table1[[#This Row],[Children_discharged _from_HHS_ Care]]/Table1[[#This Row],[Children_transferred_out_of_CBP_custody]])</f>
        <v>1.5202312138728324</v>
      </c>
    </row>
    <row r="107" spans="1:18" x14ac:dyDescent="0.3">
      <c r="A107">
        <v>106</v>
      </c>
      <c r="B107" s="7">
        <v>45103</v>
      </c>
      <c r="C107" s="5">
        <v>186</v>
      </c>
      <c r="D107" s="5">
        <v>259</v>
      </c>
      <c r="E107" s="5">
        <v>172</v>
      </c>
      <c r="F107" s="5">
        <v>5819</v>
      </c>
      <c r="G107" s="5">
        <v>174</v>
      </c>
      <c r="H107" t="str">
        <f t="shared" si="6"/>
        <v>Valid</v>
      </c>
      <c r="I107" t="str">
        <f t="shared" si="7"/>
        <v>Valid</v>
      </c>
      <c r="J107" s="5">
        <f t="shared" si="8"/>
        <v>5645</v>
      </c>
      <c r="K107" s="5">
        <f t="shared" si="9"/>
        <v>6078</v>
      </c>
      <c r="L107" s="5">
        <f>IF(Table1[[#This Row],[Total_System_Load]]&gt;80%*AVERAGE(Table1[Total_System_Load]),Table1[[#This Row],[Total_System_Load]]-Table1[[#This Row],[Total_Children_Under_Care]],0)</f>
        <v>433</v>
      </c>
      <c r="M107" s="5">
        <f t="shared" si="5"/>
        <v>-2</v>
      </c>
      <c r="N107" s="5">
        <f>M108-Table1[[#This Row],[Net_Daily_Intake]]</f>
        <v>67</v>
      </c>
      <c r="O107" s="5">
        <f>M108-Table1[[#This Row],[Net_Daily_Intake]]/Table1[[#This Row],[Net_Daily_Intake]]</f>
        <v>64</v>
      </c>
      <c r="P107" t="str">
        <f>IF(Table1[[#This Row],[Change_in_Net_Daily_Intake]]&gt;0,"Sustained Positive","Negative")</f>
        <v>Sustained Positive</v>
      </c>
      <c r="Q107" s="1">
        <f>(Table1[[#This Row],[Total_System_Load]]-Table1[[#This Row],[Total_Children_Under_Care]])/Table1[[#This Row],[Total_Children_Under_Care]]*100</f>
        <v>7.6705048715677586</v>
      </c>
      <c r="R107" s="1">
        <f>(Table1[[#This Row],[Children_discharged _from_HHS_ Care]]/Table1[[#This Row],[Children_transferred_out_of_CBP_custody]])</f>
        <v>1.0116279069767442</v>
      </c>
    </row>
    <row r="108" spans="1:18" x14ac:dyDescent="0.3">
      <c r="A108">
        <v>107</v>
      </c>
      <c r="B108" s="7">
        <v>45104</v>
      </c>
      <c r="C108" s="5">
        <v>154</v>
      </c>
      <c r="D108" s="5">
        <v>225</v>
      </c>
      <c r="E108" s="5">
        <v>220</v>
      </c>
      <c r="F108" s="5">
        <v>5917</v>
      </c>
      <c r="G108" s="5">
        <v>155</v>
      </c>
      <c r="H108" t="str">
        <f t="shared" si="6"/>
        <v>Valid</v>
      </c>
      <c r="I108" t="str">
        <f t="shared" si="7"/>
        <v>Valid</v>
      </c>
      <c r="J108" s="5">
        <f t="shared" si="8"/>
        <v>5762</v>
      </c>
      <c r="K108" s="5">
        <f t="shared" si="9"/>
        <v>6142</v>
      </c>
      <c r="L108" s="5">
        <f>IF(Table1[[#This Row],[Total_System_Load]]&gt;80%*AVERAGE(Table1[Total_System_Load]),Table1[[#This Row],[Total_System_Load]]-Table1[[#This Row],[Total_Children_Under_Care]],0)</f>
        <v>380</v>
      </c>
      <c r="M108" s="5">
        <f t="shared" si="5"/>
        <v>65</v>
      </c>
      <c r="N108" s="5">
        <f>M109-Table1[[#This Row],[Net_Daily_Intake]]</f>
        <v>-67</v>
      </c>
      <c r="O108" s="5">
        <f>M109-Table1[[#This Row],[Net_Daily_Intake]]/Table1[[#This Row],[Net_Daily_Intake]]</f>
        <v>-3</v>
      </c>
      <c r="P108" t="str">
        <f>IF(Table1[[#This Row],[Change_in_Net_Daily_Intake]]&gt;0,"Sustained Positive","Negative")</f>
        <v>Negative</v>
      </c>
      <c r="Q108" s="1">
        <f>(Table1[[#This Row],[Total_System_Load]]-Table1[[#This Row],[Total_Children_Under_Care]])/Table1[[#This Row],[Total_Children_Under_Care]]*100</f>
        <v>6.5949323151683448</v>
      </c>
      <c r="R108" s="1">
        <f>(Table1[[#This Row],[Children_discharged _from_HHS_ Care]]/Table1[[#This Row],[Children_transferred_out_of_CBP_custody]])</f>
        <v>0.70454545454545459</v>
      </c>
    </row>
    <row r="109" spans="1:18" x14ac:dyDescent="0.3">
      <c r="A109">
        <v>108</v>
      </c>
      <c r="B109" s="7">
        <v>45105</v>
      </c>
      <c r="C109" s="5">
        <v>91</v>
      </c>
      <c r="D109" s="5">
        <v>199</v>
      </c>
      <c r="E109" s="5">
        <v>172</v>
      </c>
      <c r="F109" s="5">
        <v>5999</v>
      </c>
      <c r="G109" s="5">
        <v>174</v>
      </c>
      <c r="H109" t="str">
        <f t="shared" si="6"/>
        <v>Valid</v>
      </c>
      <c r="I109" t="str">
        <f t="shared" si="7"/>
        <v>Valid</v>
      </c>
      <c r="J109" s="5">
        <f t="shared" si="8"/>
        <v>5825</v>
      </c>
      <c r="K109" s="5">
        <f t="shared" si="9"/>
        <v>6198</v>
      </c>
      <c r="L109" s="5">
        <f>IF(Table1[[#This Row],[Total_System_Load]]&gt;80%*AVERAGE(Table1[Total_System_Load]),Table1[[#This Row],[Total_System_Load]]-Table1[[#This Row],[Total_Children_Under_Care]],0)</f>
        <v>373</v>
      </c>
      <c r="M109" s="5">
        <f t="shared" si="5"/>
        <v>-2</v>
      </c>
      <c r="N109" s="5">
        <f>M110-Table1[[#This Row],[Net_Daily_Intake]]</f>
        <v>-58</v>
      </c>
      <c r="O109" s="5">
        <f>M110-Table1[[#This Row],[Net_Daily_Intake]]/Table1[[#This Row],[Net_Daily_Intake]]</f>
        <v>-61</v>
      </c>
      <c r="P109" t="str">
        <f>IF(Table1[[#This Row],[Change_in_Net_Daily_Intake]]&gt;0,"Sustained Positive","Negative")</f>
        <v>Negative</v>
      </c>
      <c r="Q109" s="1">
        <f>(Table1[[#This Row],[Total_System_Load]]-Table1[[#This Row],[Total_Children_Under_Care]])/Table1[[#This Row],[Total_Children_Under_Care]]*100</f>
        <v>6.4034334763948504</v>
      </c>
      <c r="R109" s="1">
        <f>(Table1[[#This Row],[Children_discharged _from_HHS_ Care]]/Table1[[#This Row],[Children_transferred_out_of_CBP_custody]])</f>
        <v>1.0116279069767442</v>
      </c>
    </row>
    <row r="110" spans="1:18" x14ac:dyDescent="0.3">
      <c r="A110">
        <v>109</v>
      </c>
      <c r="B110" s="7">
        <v>45106</v>
      </c>
      <c r="C110" s="5">
        <v>81</v>
      </c>
      <c r="D110" s="5">
        <v>213</v>
      </c>
      <c r="E110" s="5">
        <v>153</v>
      </c>
      <c r="F110" s="5">
        <v>6058</v>
      </c>
      <c r="G110" s="5">
        <v>213</v>
      </c>
      <c r="H110" t="str">
        <f t="shared" si="6"/>
        <v>Valid</v>
      </c>
      <c r="I110" t="str">
        <f t="shared" si="7"/>
        <v>Valid</v>
      </c>
      <c r="J110" s="5">
        <f t="shared" si="8"/>
        <v>5845</v>
      </c>
      <c r="K110" s="5">
        <f t="shared" si="9"/>
        <v>6271</v>
      </c>
      <c r="L110" s="5">
        <f>IF(Table1[[#This Row],[Total_System_Load]]&gt;80%*AVERAGE(Table1[Total_System_Load]),Table1[[#This Row],[Total_System_Load]]-Table1[[#This Row],[Total_Children_Under_Care]],0)</f>
        <v>426</v>
      </c>
      <c r="M110" s="5">
        <f t="shared" si="5"/>
        <v>-60</v>
      </c>
      <c r="N110" s="5">
        <f>M111-Table1[[#This Row],[Net_Daily_Intake]]</f>
        <v>-65</v>
      </c>
      <c r="O110" s="5">
        <f>M111-Table1[[#This Row],[Net_Daily_Intake]]/Table1[[#This Row],[Net_Daily_Intake]]</f>
        <v>-126</v>
      </c>
      <c r="P110" t="str">
        <f>IF(Table1[[#This Row],[Change_in_Net_Daily_Intake]]&gt;0,"Sustained Positive","Negative")</f>
        <v>Negative</v>
      </c>
      <c r="Q110" s="1">
        <f>(Table1[[#This Row],[Total_System_Load]]-Table1[[#This Row],[Total_Children_Under_Care]])/Table1[[#This Row],[Total_Children_Under_Care]]*100</f>
        <v>7.2882805816937557</v>
      </c>
      <c r="R110" s="1">
        <f>(Table1[[#This Row],[Children_discharged _from_HHS_ Care]]/Table1[[#This Row],[Children_transferred_out_of_CBP_custody]])</f>
        <v>1.392156862745098</v>
      </c>
    </row>
    <row r="111" spans="1:18" x14ac:dyDescent="0.3">
      <c r="A111">
        <v>110</v>
      </c>
      <c r="B111" s="7">
        <v>45109</v>
      </c>
      <c r="C111" s="5">
        <v>209</v>
      </c>
      <c r="D111" s="5">
        <v>285</v>
      </c>
      <c r="E111" s="5">
        <v>184</v>
      </c>
      <c r="F111" s="5">
        <v>5903</v>
      </c>
      <c r="G111" s="5">
        <v>309</v>
      </c>
      <c r="H111" t="str">
        <f t="shared" si="6"/>
        <v>Valid</v>
      </c>
      <c r="I111" t="str">
        <f t="shared" si="7"/>
        <v>Valid</v>
      </c>
      <c r="J111" s="5">
        <f t="shared" si="8"/>
        <v>5594</v>
      </c>
      <c r="K111" s="5">
        <f t="shared" si="9"/>
        <v>6188</v>
      </c>
      <c r="L111" s="5">
        <f>IF(Table1[[#This Row],[Total_System_Load]]&gt;80%*AVERAGE(Table1[Total_System_Load]),Table1[[#This Row],[Total_System_Load]]-Table1[[#This Row],[Total_Children_Under_Care]],0)</f>
        <v>594</v>
      </c>
      <c r="M111" s="5">
        <f t="shared" si="5"/>
        <v>-125</v>
      </c>
      <c r="N111" s="5">
        <f>M112-Table1[[#This Row],[Net_Daily_Intake]]</f>
        <v>218</v>
      </c>
      <c r="O111" s="5">
        <f>M112-Table1[[#This Row],[Net_Daily_Intake]]/Table1[[#This Row],[Net_Daily_Intake]]</f>
        <v>92</v>
      </c>
      <c r="P111" t="str">
        <f>IF(Table1[[#This Row],[Change_in_Net_Daily_Intake]]&gt;0,"Sustained Positive","Negative")</f>
        <v>Sustained Positive</v>
      </c>
      <c r="Q111" s="1">
        <f>(Table1[[#This Row],[Total_System_Load]]-Table1[[#This Row],[Total_Children_Under_Care]])/Table1[[#This Row],[Total_Children_Under_Care]]*100</f>
        <v>10.618519842688595</v>
      </c>
      <c r="R111" s="1">
        <f>(Table1[[#This Row],[Children_discharged _from_HHS_ Care]]/Table1[[#This Row],[Children_transferred_out_of_CBP_custody]])</f>
        <v>1.6793478260869565</v>
      </c>
    </row>
    <row r="112" spans="1:18" x14ac:dyDescent="0.3">
      <c r="A112">
        <v>111</v>
      </c>
      <c r="B112" s="7">
        <v>45111</v>
      </c>
      <c r="C112" s="5">
        <v>184</v>
      </c>
      <c r="D112" s="5">
        <v>314</v>
      </c>
      <c r="E112" s="5">
        <v>217</v>
      </c>
      <c r="F112" s="5">
        <v>6127</v>
      </c>
      <c r="G112" s="5">
        <v>124</v>
      </c>
      <c r="H112" t="str">
        <f t="shared" si="6"/>
        <v>Valid</v>
      </c>
      <c r="I112" t="str">
        <f t="shared" si="7"/>
        <v>Valid</v>
      </c>
      <c r="J112" s="5">
        <f t="shared" si="8"/>
        <v>6003</v>
      </c>
      <c r="K112" s="5">
        <f t="shared" si="9"/>
        <v>6441</v>
      </c>
      <c r="L112" s="5">
        <f>IF(Table1[[#This Row],[Total_System_Load]]&gt;80%*AVERAGE(Table1[Total_System_Load]),Table1[[#This Row],[Total_System_Load]]-Table1[[#This Row],[Total_Children_Under_Care]],0)</f>
        <v>438</v>
      </c>
      <c r="M112" s="5">
        <f t="shared" si="5"/>
        <v>93</v>
      </c>
      <c r="N112" s="5">
        <f>M113-Table1[[#This Row],[Net_Daily_Intake]]</f>
        <v>-30</v>
      </c>
      <c r="O112" s="5">
        <f>M113-Table1[[#This Row],[Net_Daily_Intake]]/Table1[[#This Row],[Net_Daily_Intake]]</f>
        <v>62</v>
      </c>
      <c r="P112" t="str">
        <f>IF(Table1[[#This Row],[Change_in_Net_Daily_Intake]]&gt;0,"Sustained Positive","Negative")</f>
        <v>Negative</v>
      </c>
      <c r="Q112" s="1">
        <f>(Table1[[#This Row],[Total_System_Load]]-Table1[[#This Row],[Total_Children_Under_Care]])/Table1[[#This Row],[Total_Children_Under_Care]]*100</f>
        <v>7.2963518240879557</v>
      </c>
      <c r="R112" s="1">
        <f>(Table1[[#This Row],[Children_discharged _from_HHS_ Care]]/Table1[[#This Row],[Children_transferred_out_of_CBP_custody]])</f>
        <v>0.5714285714285714</v>
      </c>
    </row>
    <row r="113" spans="1:18" x14ac:dyDescent="0.3">
      <c r="A113">
        <v>112</v>
      </c>
      <c r="B113" s="7">
        <v>45112</v>
      </c>
      <c r="C113" s="5">
        <v>107</v>
      </c>
      <c r="D113" s="5">
        <v>215</v>
      </c>
      <c r="E113" s="5">
        <v>230</v>
      </c>
      <c r="F113" s="5">
        <v>6193</v>
      </c>
      <c r="G113" s="5">
        <v>167</v>
      </c>
      <c r="H113" t="str">
        <f t="shared" si="6"/>
        <v>Invalid</v>
      </c>
      <c r="I113" t="str">
        <f t="shared" si="7"/>
        <v>Valid</v>
      </c>
      <c r="J113" s="5">
        <f t="shared" si="8"/>
        <v>6026</v>
      </c>
      <c r="K113" s="5">
        <f t="shared" si="9"/>
        <v>6408</v>
      </c>
      <c r="L113" s="5">
        <f>IF(Table1[[#This Row],[Total_System_Load]]&gt;80%*AVERAGE(Table1[Total_System_Load]),Table1[[#This Row],[Total_System_Load]]-Table1[[#This Row],[Total_Children_Under_Care]],0)</f>
        <v>382</v>
      </c>
      <c r="M113" s="5">
        <f t="shared" si="5"/>
        <v>63</v>
      </c>
      <c r="N113" s="5">
        <f>M114-Table1[[#This Row],[Net_Daily_Intake]]</f>
        <v>-90</v>
      </c>
      <c r="O113" s="5">
        <f>M114-Table1[[#This Row],[Net_Daily_Intake]]/Table1[[#This Row],[Net_Daily_Intake]]</f>
        <v>-28</v>
      </c>
      <c r="P113" t="str">
        <f>IF(Table1[[#This Row],[Change_in_Net_Daily_Intake]]&gt;0,"Sustained Positive","Negative")</f>
        <v>Negative</v>
      </c>
      <c r="Q113" s="1">
        <f>(Table1[[#This Row],[Total_System_Load]]-Table1[[#This Row],[Total_Children_Under_Care]])/Table1[[#This Row],[Total_Children_Under_Care]]*100</f>
        <v>6.3391968138068373</v>
      </c>
      <c r="R113" s="1">
        <f>(Table1[[#This Row],[Children_discharged _from_HHS_ Care]]/Table1[[#This Row],[Children_transferred_out_of_CBP_custody]])</f>
        <v>0.72608695652173916</v>
      </c>
    </row>
    <row r="114" spans="1:18" x14ac:dyDescent="0.3">
      <c r="A114">
        <v>113</v>
      </c>
      <c r="B114" s="7">
        <v>45113</v>
      </c>
      <c r="C114" s="5">
        <v>101</v>
      </c>
      <c r="D114" s="5">
        <v>162</v>
      </c>
      <c r="E114" s="5">
        <v>178</v>
      </c>
      <c r="F114" s="5">
        <v>6239</v>
      </c>
      <c r="G114" s="5">
        <v>205</v>
      </c>
      <c r="H114" t="str">
        <f t="shared" si="6"/>
        <v>Invalid</v>
      </c>
      <c r="I114" t="str">
        <f t="shared" si="7"/>
        <v>Valid</v>
      </c>
      <c r="J114" s="5">
        <f t="shared" si="8"/>
        <v>6034</v>
      </c>
      <c r="K114" s="5">
        <f t="shared" si="9"/>
        <v>6401</v>
      </c>
      <c r="L114" s="5">
        <f>IF(Table1[[#This Row],[Total_System_Load]]&gt;80%*AVERAGE(Table1[Total_System_Load]),Table1[[#This Row],[Total_System_Load]]-Table1[[#This Row],[Total_Children_Under_Care]],0)</f>
        <v>367</v>
      </c>
      <c r="M114" s="5">
        <f t="shared" si="5"/>
        <v>-27</v>
      </c>
      <c r="N114" s="5">
        <f>M115-Table1[[#This Row],[Net_Daily_Intake]]</f>
        <v>7</v>
      </c>
      <c r="O114" s="5">
        <f>M115-Table1[[#This Row],[Net_Daily_Intake]]/Table1[[#This Row],[Net_Daily_Intake]]</f>
        <v>-21</v>
      </c>
      <c r="P114" t="str">
        <f>IF(Table1[[#This Row],[Change_in_Net_Daily_Intake]]&gt;0,"Sustained Positive","Negative")</f>
        <v>Sustained Positive</v>
      </c>
      <c r="Q114" s="1">
        <f>(Table1[[#This Row],[Total_System_Load]]-Table1[[#This Row],[Total_Children_Under_Care]])/Table1[[#This Row],[Total_Children_Under_Care]]*100</f>
        <v>6.0822008617832282</v>
      </c>
      <c r="R114" s="1">
        <f>(Table1[[#This Row],[Children_discharged _from_HHS_ Care]]/Table1[[#This Row],[Children_transferred_out_of_CBP_custody]])</f>
        <v>1.151685393258427</v>
      </c>
    </row>
    <row r="115" spans="1:18" x14ac:dyDescent="0.3">
      <c r="A115">
        <v>114</v>
      </c>
      <c r="B115" s="7">
        <v>45116</v>
      </c>
      <c r="C115" s="5">
        <v>99</v>
      </c>
      <c r="D115" s="5">
        <v>190</v>
      </c>
      <c r="E115" s="5">
        <v>176</v>
      </c>
      <c r="F115" s="5">
        <v>6214</v>
      </c>
      <c r="G115" s="5">
        <v>196</v>
      </c>
      <c r="H115" t="str">
        <f t="shared" si="6"/>
        <v>Valid</v>
      </c>
      <c r="I115" t="str">
        <f t="shared" si="7"/>
        <v>Valid</v>
      </c>
      <c r="J115" s="5">
        <f t="shared" si="8"/>
        <v>6018</v>
      </c>
      <c r="K115" s="5">
        <f t="shared" si="9"/>
        <v>6404</v>
      </c>
      <c r="L115" s="5">
        <f>IF(Table1[[#This Row],[Total_System_Load]]&gt;80%*AVERAGE(Table1[Total_System_Load]),Table1[[#This Row],[Total_System_Load]]-Table1[[#This Row],[Total_Children_Under_Care]],0)</f>
        <v>386</v>
      </c>
      <c r="M115" s="5">
        <f t="shared" si="5"/>
        <v>-20</v>
      </c>
      <c r="N115" s="5">
        <f>M116-Table1[[#This Row],[Net_Daily_Intake]]</f>
        <v>23</v>
      </c>
      <c r="O115" s="5">
        <f>M116-Table1[[#This Row],[Net_Daily_Intake]]/Table1[[#This Row],[Net_Daily_Intake]]</f>
        <v>2</v>
      </c>
      <c r="P115" t="str">
        <f>IF(Table1[[#This Row],[Change_in_Net_Daily_Intake]]&gt;0,"Sustained Positive","Negative")</f>
        <v>Sustained Positive</v>
      </c>
      <c r="Q115" s="1">
        <f>(Table1[[#This Row],[Total_System_Load]]-Table1[[#This Row],[Total_Children_Under_Care]])/Table1[[#This Row],[Total_Children_Under_Care]]*100</f>
        <v>6.4140910601528756</v>
      </c>
      <c r="R115" s="1">
        <f>(Table1[[#This Row],[Children_discharged _from_HHS_ Care]]/Table1[[#This Row],[Children_transferred_out_of_CBP_custody]])</f>
        <v>1.1136363636363635</v>
      </c>
    </row>
    <row r="116" spans="1:18" x14ac:dyDescent="0.3">
      <c r="A116">
        <v>115</v>
      </c>
      <c r="B116" s="7">
        <v>45117</v>
      </c>
      <c r="C116" s="5">
        <v>167</v>
      </c>
      <c r="D116" s="5">
        <v>239</v>
      </c>
      <c r="E116" s="5">
        <v>166</v>
      </c>
      <c r="F116" s="5">
        <v>6346</v>
      </c>
      <c r="G116" s="5">
        <v>163</v>
      </c>
      <c r="H116" t="str">
        <f t="shared" si="6"/>
        <v>Valid</v>
      </c>
      <c r="I116" t="str">
        <f t="shared" si="7"/>
        <v>Valid</v>
      </c>
      <c r="J116" s="5">
        <f t="shared" si="8"/>
        <v>6183</v>
      </c>
      <c r="K116" s="5">
        <f t="shared" si="9"/>
        <v>6585</v>
      </c>
      <c r="L116" s="5">
        <f>IF(Table1[[#This Row],[Total_System_Load]]&gt;80%*AVERAGE(Table1[Total_System_Load]),Table1[[#This Row],[Total_System_Load]]-Table1[[#This Row],[Total_Children_Under_Care]],0)</f>
        <v>402</v>
      </c>
      <c r="M116" s="5">
        <f t="shared" si="5"/>
        <v>3</v>
      </c>
      <c r="N116" s="5">
        <f>M117-Table1[[#This Row],[Net_Daily_Intake]]</f>
        <v>23</v>
      </c>
      <c r="O116" s="5">
        <f>M117-Table1[[#This Row],[Net_Daily_Intake]]/Table1[[#This Row],[Net_Daily_Intake]]</f>
        <v>25</v>
      </c>
      <c r="P116" t="str">
        <f>IF(Table1[[#This Row],[Change_in_Net_Daily_Intake]]&gt;0,"Sustained Positive","Negative")</f>
        <v>Sustained Positive</v>
      </c>
      <c r="Q116" s="1">
        <f>(Table1[[#This Row],[Total_System_Load]]-Table1[[#This Row],[Total_Children_Under_Care]])/Table1[[#This Row],[Total_Children_Under_Care]]*100</f>
        <v>6.5016982047549732</v>
      </c>
      <c r="R116" s="1">
        <f>(Table1[[#This Row],[Children_discharged _from_HHS_ Care]]/Table1[[#This Row],[Children_transferred_out_of_CBP_custody]])</f>
        <v>0.98192771084337349</v>
      </c>
    </row>
    <row r="117" spans="1:18" x14ac:dyDescent="0.3">
      <c r="A117">
        <v>116</v>
      </c>
      <c r="B117" s="7">
        <v>45118</v>
      </c>
      <c r="C117" s="5">
        <v>115</v>
      </c>
      <c r="D117" s="5">
        <v>216</v>
      </c>
      <c r="E117" s="5">
        <v>169</v>
      </c>
      <c r="F117" s="5">
        <v>6498</v>
      </c>
      <c r="G117" s="5">
        <v>143</v>
      </c>
      <c r="H117" t="str">
        <f t="shared" si="6"/>
        <v>Valid</v>
      </c>
      <c r="I117" t="str">
        <f t="shared" si="7"/>
        <v>Valid</v>
      </c>
      <c r="J117" s="5">
        <f t="shared" si="8"/>
        <v>6355</v>
      </c>
      <c r="K117" s="5">
        <f t="shared" si="9"/>
        <v>6714</v>
      </c>
      <c r="L117" s="5">
        <f>IF(Table1[[#This Row],[Total_System_Load]]&gt;80%*AVERAGE(Table1[Total_System_Load]),Table1[[#This Row],[Total_System_Load]]-Table1[[#This Row],[Total_Children_Under_Care]],0)</f>
        <v>359</v>
      </c>
      <c r="M117" s="5">
        <f t="shared" si="5"/>
        <v>26</v>
      </c>
      <c r="N117" s="5">
        <f>M118-Table1[[#This Row],[Net_Daily_Intake]]</f>
        <v>-43</v>
      </c>
      <c r="O117" s="5">
        <f>M118-Table1[[#This Row],[Net_Daily_Intake]]/Table1[[#This Row],[Net_Daily_Intake]]</f>
        <v>-18</v>
      </c>
      <c r="P117" t="str">
        <f>IF(Table1[[#This Row],[Change_in_Net_Daily_Intake]]&gt;0,"Sustained Positive","Negative")</f>
        <v>Negative</v>
      </c>
      <c r="Q117" s="1">
        <f>(Table1[[#This Row],[Total_System_Load]]-Table1[[#This Row],[Total_Children_Under_Care]])/Table1[[#This Row],[Total_Children_Under_Care]]*100</f>
        <v>5.6490952006294251</v>
      </c>
      <c r="R117" s="1">
        <f>(Table1[[#This Row],[Children_discharged _from_HHS_ Care]]/Table1[[#This Row],[Children_transferred_out_of_CBP_custody]])</f>
        <v>0.84615384615384615</v>
      </c>
    </row>
    <row r="118" spans="1:18" x14ac:dyDescent="0.3">
      <c r="A118">
        <v>117</v>
      </c>
      <c r="B118" s="7">
        <v>45119</v>
      </c>
      <c r="C118" s="5">
        <v>84</v>
      </c>
      <c r="D118" s="5">
        <v>158</v>
      </c>
      <c r="E118" s="5">
        <v>193</v>
      </c>
      <c r="F118" s="5">
        <v>6521</v>
      </c>
      <c r="G118" s="5">
        <v>210</v>
      </c>
      <c r="H118" t="str">
        <f t="shared" si="6"/>
        <v>Invalid</v>
      </c>
      <c r="I118" t="str">
        <f t="shared" si="7"/>
        <v>Valid</v>
      </c>
      <c r="J118" s="5">
        <f t="shared" si="8"/>
        <v>6311</v>
      </c>
      <c r="K118" s="5">
        <f t="shared" si="9"/>
        <v>6679</v>
      </c>
      <c r="L118" s="5">
        <f>IF(Table1[[#This Row],[Total_System_Load]]&gt;80%*AVERAGE(Table1[Total_System_Load]),Table1[[#This Row],[Total_System_Load]]-Table1[[#This Row],[Total_Children_Under_Care]],0)</f>
        <v>368</v>
      </c>
      <c r="M118" s="5">
        <f t="shared" si="5"/>
        <v>-17</v>
      </c>
      <c r="N118" s="5">
        <f>M119-Table1[[#This Row],[Net_Daily_Intake]]</f>
        <v>-17</v>
      </c>
      <c r="O118" s="5">
        <f>M119-Table1[[#This Row],[Net_Daily_Intake]]/Table1[[#This Row],[Net_Daily_Intake]]</f>
        <v>-35</v>
      </c>
      <c r="P118" t="str">
        <f>IF(Table1[[#This Row],[Change_in_Net_Daily_Intake]]&gt;0,"Sustained Positive","Negative")</f>
        <v>Negative</v>
      </c>
      <c r="Q118" s="1">
        <f>(Table1[[#This Row],[Total_System_Load]]-Table1[[#This Row],[Total_Children_Under_Care]])/Table1[[#This Row],[Total_Children_Under_Care]]*100</f>
        <v>5.8310885755030899</v>
      </c>
      <c r="R118" s="1">
        <f>(Table1[[#This Row],[Children_discharged _from_HHS_ Care]]/Table1[[#This Row],[Children_transferred_out_of_CBP_custody]])</f>
        <v>1.0880829015544042</v>
      </c>
    </row>
    <row r="119" spans="1:18" x14ac:dyDescent="0.3">
      <c r="A119">
        <v>118</v>
      </c>
      <c r="B119" s="7">
        <v>45120</v>
      </c>
      <c r="C119" s="5">
        <v>130</v>
      </c>
      <c r="D119" s="5">
        <v>227</v>
      </c>
      <c r="E119" s="5">
        <v>192</v>
      </c>
      <c r="F119" s="5">
        <v>6604</v>
      </c>
      <c r="G119" s="5">
        <v>226</v>
      </c>
      <c r="H119" t="str">
        <f t="shared" si="6"/>
        <v>Valid</v>
      </c>
      <c r="I119" t="str">
        <f t="shared" si="7"/>
        <v>Valid</v>
      </c>
      <c r="J119" s="5">
        <f t="shared" si="8"/>
        <v>6378</v>
      </c>
      <c r="K119" s="5">
        <f t="shared" si="9"/>
        <v>6831</v>
      </c>
      <c r="L119" s="5">
        <f>IF(Table1[[#This Row],[Total_System_Load]]&gt;80%*AVERAGE(Table1[Total_System_Load]),Table1[[#This Row],[Total_System_Load]]-Table1[[#This Row],[Total_Children_Under_Care]],0)</f>
        <v>453</v>
      </c>
      <c r="M119" s="5">
        <f t="shared" si="5"/>
        <v>-34</v>
      </c>
      <c r="N119" s="5">
        <f>M120-Table1[[#This Row],[Net_Daily_Intake]]</f>
        <v>-24</v>
      </c>
      <c r="O119" s="5">
        <f>M120-Table1[[#This Row],[Net_Daily_Intake]]/Table1[[#This Row],[Net_Daily_Intake]]</f>
        <v>-59</v>
      </c>
      <c r="P119" t="str">
        <f>IF(Table1[[#This Row],[Change_in_Net_Daily_Intake]]&gt;0,"Sustained Positive","Negative")</f>
        <v>Negative</v>
      </c>
      <c r="Q119" s="1">
        <f>(Table1[[#This Row],[Total_System_Load]]-Table1[[#This Row],[Total_Children_Under_Care]])/Table1[[#This Row],[Total_Children_Under_Care]]*100</f>
        <v>7.1025399811853243</v>
      </c>
      <c r="R119" s="1">
        <f>(Table1[[#This Row],[Children_discharged _from_HHS_ Care]]/Table1[[#This Row],[Children_transferred_out_of_CBP_custody]])</f>
        <v>1.1770833333333333</v>
      </c>
    </row>
    <row r="120" spans="1:18" x14ac:dyDescent="0.3">
      <c r="A120">
        <v>119</v>
      </c>
      <c r="B120" s="7">
        <v>45123</v>
      </c>
      <c r="C120" s="5">
        <v>88</v>
      </c>
      <c r="D120" s="5">
        <v>214</v>
      </c>
      <c r="E120" s="5">
        <v>160</v>
      </c>
      <c r="F120" s="5">
        <v>6468</v>
      </c>
      <c r="G120" s="5">
        <v>218</v>
      </c>
      <c r="H120" t="str">
        <f t="shared" si="6"/>
        <v>Valid</v>
      </c>
      <c r="I120" t="str">
        <f t="shared" si="7"/>
        <v>Valid</v>
      </c>
      <c r="J120" s="5">
        <f t="shared" si="8"/>
        <v>6250</v>
      </c>
      <c r="K120" s="5">
        <f t="shared" si="9"/>
        <v>6682</v>
      </c>
      <c r="L120" s="5">
        <f>IF(Table1[[#This Row],[Total_System_Load]]&gt;80%*AVERAGE(Table1[Total_System_Load]),Table1[[#This Row],[Total_System_Load]]-Table1[[#This Row],[Total_Children_Under_Care]],0)</f>
        <v>432</v>
      </c>
      <c r="M120" s="5">
        <f t="shared" si="5"/>
        <v>-58</v>
      </c>
      <c r="N120" s="5">
        <f>M121-Table1[[#This Row],[Net_Daily_Intake]]</f>
        <v>57</v>
      </c>
      <c r="O120" s="5">
        <f>M121-Table1[[#This Row],[Net_Daily_Intake]]/Table1[[#This Row],[Net_Daily_Intake]]</f>
        <v>-2</v>
      </c>
      <c r="P120" t="str">
        <f>IF(Table1[[#This Row],[Change_in_Net_Daily_Intake]]&gt;0,"Sustained Positive","Negative")</f>
        <v>Sustained Positive</v>
      </c>
      <c r="Q120" s="1">
        <f>(Table1[[#This Row],[Total_System_Load]]-Table1[[#This Row],[Total_Children_Under_Care]])/Table1[[#This Row],[Total_Children_Under_Care]]*100</f>
        <v>6.9119999999999999</v>
      </c>
      <c r="R120" s="1">
        <f>(Table1[[#This Row],[Children_discharged _from_HHS_ Care]]/Table1[[#This Row],[Children_transferred_out_of_CBP_custody]])</f>
        <v>1.3625</v>
      </c>
    </row>
    <row r="121" spans="1:18" x14ac:dyDescent="0.3">
      <c r="A121">
        <v>120</v>
      </c>
      <c r="B121" s="7">
        <v>45124</v>
      </c>
      <c r="C121" s="5">
        <v>113</v>
      </c>
      <c r="D121" s="5">
        <v>208</v>
      </c>
      <c r="E121" s="5">
        <v>159</v>
      </c>
      <c r="F121" s="5">
        <v>6632</v>
      </c>
      <c r="G121" s="5">
        <v>160</v>
      </c>
      <c r="H121" t="str">
        <f t="shared" si="6"/>
        <v>Valid</v>
      </c>
      <c r="I121" t="str">
        <f t="shared" si="7"/>
        <v>Valid</v>
      </c>
      <c r="J121" s="5">
        <f t="shared" si="8"/>
        <v>6472</v>
      </c>
      <c r="K121" s="5">
        <f t="shared" si="9"/>
        <v>6840</v>
      </c>
      <c r="L121" s="5">
        <f>IF(Table1[[#This Row],[Total_System_Load]]&gt;80%*AVERAGE(Table1[Total_System_Load]),Table1[[#This Row],[Total_System_Load]]-Table1[[#This Row],[Total_Children_Under_Care]],0)</f>
        <v>368</v>
      </c>
      <c r="M121" s="5">
        <f t="shared" si="5"/>
        <v>-1</v>
      </c>
      <c r="N121" s="5">
        <f>M122-Table1[[#This Row],[Net_Daily_Intake]]</f>
        <v>-30</v>
      </c>
      <c r="O121" s="5">
        <f>M122-Table1[[#This Row],[Net_Daily_Intake]]/Table1[[#This Row],[Net_Daily_Intake]]</f>
        <v>-32</v>
      </c>
      <c r="P121" t="str">
        <f>IF(Table1[[#This Row],[Change_in_Net_Daily_Intake]]&gt;0,"Sustained Positive","Negative")</f>
        <v>Negative</v>
      </c>
      <c r="Q121" s="1">
        <f>(Table1[[#This Row],[Total_System_Load]]-Table1[[#This Row],[Total_Children_Under_Care]])/Table1[[#This Row],[Total_Children_Under_Care]]*100</f>
        <v>5.6860321384425223</v>
      </c>
      <c r="R121" s="1">
        <f>(Table1[[#This Row],[Children_discharged _from_HHS_ Care]]/Table1[[#This Row],[Children_transferred_out_of_CBP_custody]])</f>
        <v>1.0062893081761006</v>
      </c>
    </row>
    <row r="122" spans="1:18" x14ac:dyDescent="0.3">
      <c r="A122">
        <v>121</v>
      </c>
      <c r="B122" s="7">
        <v>45125</v>
      </c>
      <c r="C122" s="5">
        <v>174</v>
      </c>
      <c r="D122" s="5">
        <v>285</v>
      </c>
      <c r="E122" s="5">
        <v>150</v>
      </c>
      <c r="F122" s="5">
        <v>6874</v>
      </c>
      <c r="G122" s="5">
        <v>181</v>
      </c>
      <c r="H122" t="str">
        <f t="shared" si="6"/>
        <v>Valid</v>
      </c>
      <c r="I122" t="str">
        <f t="shared" si="7"/>
        <v>Valid</v>
      </c>
      <c r="J122" s="5">
        <f t="shared" si="8"/>
        <v>6693</v>
      </c>
      <c r="K122" s="5">
        <f t="shared" si="9"/>
        <v>7159</v>
      </c>
      <c r="L122" s="5">
        <f>IF(Table1[[#This Row],[Total_System_Load]]&gt;80%*AVERAGE(Table1[Total_System_Load]),Table1[[#This Row],[Total_System_Load]]-Table1[[#This Row],[Total_Children_Under_Care]],0)</f>
        <v>466</v>
      </c>
      <c r="M122" s="5">
        <f t="shared" si="5"/>
        <v>-31</v>
      </c>
      <c r="N122" s="5">
        <f>M123-Table1[[#This Row],[Net_Daily_Intake]]</f>
        <v>11</v>
      </c>
      <c r="O122" s="5">
        <f>M123-Table1[[#This Row],[Net_Daily_Intake]]/Table1[[#This Row],[Net_Daily_Intake]]</f>
        <v>-21</v>
      </c>
      <c r="P122" t="str">
        <f>IF(Table1[[#This Row],[Change_in_Net_Daily_Intake]]&gt;0,"Sustained Positive","Negative")</f>
        <v>Sustained Positive</v>
      </c>
      <c r="Q122" s="1">
        <f>(Table1[[#This Row],[Total_System_Load]]-Table1[[#This Row],[Total_Children_Under_Care]])/Table1[[#This Row],[Total_Children_Under_Care]]*100</f>
        <v>6.9624981323771111</v>
      </c>
      <c r="R122" s="1">
        <f>(Table1[[#This Row],[Children_discharged _from_HHS_ Care]]/Table1[[#This Row],[Children_transferred_out_of_CBP_custody]])</f>
        <v>1.2066666666666668</v>
      </c>
    </row>
    <row r="123" spans="1:18" x14ac:dyDescent="0.3">
      <c r="A123">
        <v>122</v>
      </c>
      <c r="B123" s="7">
        <v>45126</v>
      </c>
      <c r="C123" s="5">
        <v>104</v>
      </c>
      <c r="D123" s="5">
        <v>230</v>
      </c>
      <c r="E123" s="5">
        <v>206</v>
      </c>
      <c r="F123" s="5">
        <v>7001</v>
      </c>
      <c r="G123" s="5">
        <v>226</v>
      </c>
      <c r="H123" t="str">
        <f t="shared" si="6"/>
        <v>Valid</v>
      </c>
      <c r="I123" t="str">
        <f t="shared" si="7"/>
        <v>Valid</v>
      </c>
      <c r="J123" s="5">
        <f t="shared" si="8"/>
        <v>6775</v>
      </c>
      <c r="K123" s="5">
        <f t="shared" si="9"/>
        <v>7231</v>
      </c>
      <c r="L123" s="5">
        <f>IF(Table1[[#This Row],[Total_System_Load]]&gt;80%*AVERAGE(Table1[Total_System_Load]),Table1[[#This Row],[Total_System_Load]]-Table1[[#This Row],[Total_Children_Under_Care]],0)</f>
        <v>456</v>
      </c>
      <c r="M123" s="5">
        <f t="shared" si="5"/>
        <v>-20</v>
      </c>
      <c r="N123" s="5">
        <f>M124-Table1[[#This Row],[Net_Daily_Intake]]</f>
        <v>-47</v>
      </c>
      <c r="O123" s="5">
        <f>M124-Table1[[#This Row],[Net_Daily_Intake]]/Table1[[#This Row],[Net_Daily_Intake]]</f>
        <v>-68</v>
      </c>
      <c r="P123" t="str">
        <f>IF(Table1[[#This Row],[Change_in_Net_Daily_Intake]]&gt;0,"Sustained Positive","Negative")</f>
        <v>Negative</v>
      </c>
      <c r="Q123" s="1">
        <f>(Table1[[#This Row],[Total_System_Load]]-Table1[[#This Row],[Total_Children_Under_Care]])/Table1[[#This Row],[Total_Children_Under_Care]]*100</f>
        <v>6.7306273062730622</v>
      </c>
      <c r="R123" s="1">
        <f>(Table1[[#This Row],[Children_discharged _from_HHS_ Care]]/Table1[[#This Row],[Children_transferred_out_of_CBP_custody]])</f>
        <v>1.0970873786407767</v>
      </c>
    </row>
    <row r="124" spans="1:18" x14ac:dyDescent="0.3">
      <c r="A124">
        <v>123</v>
      </c>
      <c r="B124" s="7">
        <v>45127</v>
      </c>
      <c r="C124" s="5">
        <v>147</v>
      </c>
      <c r="D124" s="5">
        <v>276</v>
      </c>
      <c r="E124" s="5">
        <v>214</v>
      </c>
      <c r="F124" s="5">
        <v>7116</v>
      </c>
      <c r="G124" s="5">
        <v>281</v>
      </c>
      <c r="H124" t="str">
        <f t="shared" si="6"/>
        <v>Valid</v>
      </c>
      <c r="I124" t="str">
        <f t="shared" si="7"/>
        <v>Valid</v>
      </c>
      <c r="J124" s="5">
        <f t="shared" si="8"/>
        <v>6835</v>
      </c>
      <c r="K124" s="5">
        <f t="shared" si="9"/>
        <v>7392</v>
      </c>
      <c r="L124" s="5">
        <f>IF(Table1[[#This Row],[Total_System_Load]]&gt;80%*AVERAGE(Table1[Total_System_Load]),Table1[[#This Row],[Total_System_Load]]-Table1[[#This Row],[Total_Children_Under_Care]],0)</f>
        <v>557</v>
      </c>
      <c r="M124" s="5">
        <f t="shared" si="5"/>
        <v>-67</v>
      </c>
      <c r="N124" s="5">
        <f>M125-Table1[[#This Row],[Net_Daily_Intake]]</f>
        <v>4</v>
      </c>
      <c r="O124" s="5">
        <f>M125-Table1[[#This Row],[Net_Daily_Intake]]/Table1[[#This Row],[Net_Daily_Intake]]</f>
        <v>-64</v>
      </c>
      <c r="P124" t="str">
        <f>IF(Table1[[#This Row],[Change_in_Net_Daily_Intake]]&gt;0,"Sustained Positive","Negative")</f>
        <v>Sustained Positive</v>
      </c>
      <c r="Q124" s="1">
        <f>(Table1[[#This Row],[Total_System_Load]]-Table1[[#This Row],[Total_Children_Under_Care]])/Table1[[#This Row],[Total_Children_Under_Care]]*100</f>
        <v>8.1492318946598399</v>
      </c>
      <c r="R124" s="1">
        <f>(Table1[[#This Row],[Children_discharged _from_HHS_ Care]]/Table1[[#This Row],[Children_transferred_out_of_CBP_custody]])</f>
        <v>1.3130841121495327</v>
      </c>
    </row>
    <row r="125" spans="1:18" x14ac:dyDescent="0.3">
      <c r="A125">
        <v>124</v>
      </c>
      <c r="B125" s="7">
        <v>45130</v>
      </c>
      <c r="C125" s="5">
        <v>108</v>
      </c>
      <c r="D125" s="5">
        <v>220</v>
      </c>
      <c r="E125" s="5">
        <v>213</v>
      </c>
      <c r="F125" s="5">
        <v>7052</v>
      </c>
      <c r="G125" s="5">
        <v>276</v>
      </c>
      <c r="H125" t="str">
        <f t="shared" si="6"/>
        <v>Valid</v>
      </c>
      <c r="I125" t="str">
        <f t="shared" si="7"/>
        <v>Valid</v>
      </c>
      <c r="J125" s="5">
        <f t="shared" si="8"/>
        <v>6776</v>
      </c>
      <c r="K125" s="5">
        <f t="shared" si="9"/>
        <v>7272</v>
      </c>
      <c r="L125" s="5">
        <f>IF(Table1[[#This Row],[Total_System_Load]]&gt;80%*AVERAGE(Table1[Total_System_Load]),Table1[[#This Row],[Total_System_Load]]-Table1[[#This Row],[Total_Children_Under_Care]],0)</f>
        <v>496</v>
      </c>
      <c r="M125" s="5">
        <f t="shared" si="5"/>
        <v>-63</v>
      </c>
      <c r="N125" s="5">
        <f>M126-Table1[[#This Row],[Net_Daily_Intake]]</f>
        <v>22</v>
      </c>
      <c r="O125" s="5">
        <f>M126-Table1[[#This Row],[Net_Daily_Intake]]/Table1[[#This Row],[Net_Daily_Intake]]</f>
        <v>-42</v>
      </c>
      <c r="P125" t="str">
        <f>IF(Table1[[#This Row],[Change_in_Net_Daily_Intake]]&gt;0,"Sustained Positive","Negative")</f>
        <v>Sustained Positive</v>
      </c>
      <c r="Q125" s="1">
        <f>(Table1[[#This Row],[Total_System_Load]]-Table1[[#This Row],[Total_Children_Under_Care]])/Table1[[#This Row],[Total_Children_Under_Care]]*100</f>
        <v>7.319952774498228</v>
      </c>
      <c r="R125" s="1">
        <f>(Table1[[#This Row],[Children_discharged _from_HHS_ Care]]/Table1[[#This Row],[Children_transferred_out_of_CBP_custody]])</f>
        <v>1.295774647887324</v>
      </c>
    </row>
    <row r="126" spans="1:18" x14ac:dyDescent="0.3">
      <c r="A126">
        <v>125</v>
      </c>
      <c r="B126" s="7">
        <v>45131</v>
      </c>
      <c r="C126" s="5">
        <v>180</v>
      </c>
      <c r="D126" s="5">
        <v>280</v>
      </c>
      <c r="E126" s="5">
        <v>146</v>
      </c>
      <c r="F126" s="5">
        <v>7220</v>
      </c>
      <c r="G126" s="5">
        <v>187</v>
      </c>
      <c r="H126" t="str">
        <f t="shared" si="6"/>
        <v>Valid</v>
      </c>
      <c r="I126" t="str">
        <f t="shared" si="7"/>
        <v>Valid</v>
      </c>
      <c r="J126" s="5">
        <f t="shared" si="8"/>
        <v>7033</v>
      </c>
      <c r="K126" s="5">
        <f t="shared" si="9"/>
        <v>7500</v>
      </c>
      <c r="L126" s="5">
        <f>IF(Table1[[#This Row],[Total_System_Load]]&gt;80%*AVERAGE(Table1[Total_System_Load]),Table1[[#This Row],[Total_System_Load]]-Table1[[#This Row],[Total_Children_Under_Care]],0)</f>
        <v>467</v>
      </c>
      <c r="M126" s="5">
        <f t="shared" si="5"/>
        <v>-41</v>
      </c>
      <c r="N126" s="5">
        <f>M127-Table1[[#This Row],[Net_Daily_Intake]]</f>
        <v>91</v>
      </c>
      <c r="O126" s="5">
        <f>M127-Table1[[#This Row],[Net_Daily_Intake]]/Table1[[#This Row],[Net_Daily_Intake]]</f>
        <v>49</v>
      </c>
      <c r="P126" t="str">
        <f>IF(Table1[[#This Row],[Change_in_Net_Daily_Intake]]&gt;0,"Sustained Positive","Negative")</f>
        <v>Sustained Positive</v>
      </c>
      <c r="Q126" s="1">
        <f>(Table1[[#This Row],[Total_System_Load]]-Table1[[#This Row],[Total_Children_Under_Care]])/Table1[[#This Row],[Total_Children_Under_Care]]*100</f>
        <v>6.6401251244134789</v>
      </c>
      <c r="R126" s="1">
        <f>(Table1[[#This Row],[Children_discharged _from_HHS_ Care]]/Table1[[#This Row],[Children_transferred_out_of_CBP_custody]])</f>
        <v>1.2808219178082192</v>
      </c>
    </row>
    <row r="127" spans="1:18" x14ac:dyDescent="0.3">
      <c r="A127">
        <v>126</v>
      </c>
      <c r="B127" s="7">
        <v>45132</v>
      </c>
      <c r="C127" s="5">
        <v>134</v>
      </c>
      <c r="D127" s="5">
        <v>294</v>
      </c>
      <c r="E127" s="5">
        <v>186</v>
      </c>
      <c r="F127" s="5">
        <v>7510</v>
      </c>
      <c r="G127" s="5">
        <v>136</v>
      </c>
      <c r="H127" t="str">
        <f t="shared" si="6"/>
        <v>Valid</v>
      </c>
      <c r="I127" t="str">
        <f t="shared" si="7"/>
        <v>Valid</v>
      </c>
      <c r="J127" s="5">
        <f t="shared" si="8"/>
        <v>7374</v>
      </c>
      <c r="K127" s="5">
        <f t="shared" si="9"/>
        <v>7804</v>
      </c>
      <c r="L127" s="5">
        <f>IF(Table1[[#This Row],[Total_System_Load]]&gt;80%*AVERAGE(Table1[Total_System_Load]),Table1[[#This Row],[Total_System_Load]]-Table1[[#This Row],[Total_Children_Under_Care]],0)</f>
        <v>430</v>
      </c>
      <c r="M127" s="5">
        <f t="shared" si="5"/>
        <v>50</v>
      </c>
      <c r="N127" s="5">
        <f>M128-Table1[[#This Row],[Net_Daily_Intake]]</f>
        <v>-107</v>
      </c>
      <c r="O127" s="5">
        <f>M128-Table1[[#This Row],[Net_Daily_Intake]]/Table1[[#This Row],[Net_Daily_Intake]]</f>
        <v>-58</v>
      </c>
      <c r="P127" t="str">
        <f>IF(Table1[[#This Row],[Change_in_Net_Daily_Intake]]&gt;0,"Sustained Positive","Negative")</f>
        <v>Negative</v>
      </c>
      <c r="Q127" s="1">
        <f>(Table1[[#This Row],[Total_System_Load]]-Table1[[#This Row],[Total_Children_Under_Care]])/Table1[[#This Row],[Total_Children_Under_Care]]*100</f>
        <v>5.8312991592080285</v>
      </c>
      <c r="R127" s="1">
        <f>(Table1[[#This Row],[Children_discharged _from_HHS_ Care]]/Table1[[#This Row],[Children_transferred_out_of_CBP_custody]])</f>
        <v>0.73118279569892475</v>
      </c>
    </row>
    <row r="128" spans="1:18" x14ac:dyDescent="0.3">
      <c r="A128">
        <v>127</v>
      </c>
      <c r="B128" s="7">
        <v>45133</v>
      </c>
      <c r="C128" s="5">
        <v>202</v>
      </c>
      <c r="D128" s="5">
        <v>313</v>
      </c>
      <c r="E128" s="5">
        <v>158</v>
      </c>
      <c r="F128" s="5">
        <v>7647</v>
      </c>
      <c r="G128" s="5">
        <v>215</v>
      </c>
      <c r="H128" t="str">
        <f t="shared" si="6"/>
        <v>Valid</v>
      </c>
      <c r="I128" t="str">
        <f t="shared" si="7"/>
        <v>Valid</v>
      </c>
      <c r="J128" s="5">
        <f t="shared" si="8"/>
        <v>7432</v>
      </c>
      <c r="K128" s="5">
        <f t="shared" si="9"/>
        <v>7960</v>
      </c>
      <c r="L128" s="5">
        <f>IF(Table1[[#This Row],[Total_System_Load]]&gt;80%*AVERAGE(Table1[Total_System_Load]),Table1[[#This Row],[Total_System_Load]]-Table1[[#This Row],[Total_Children_Under_Care]],0)</f>
        <v>528</v>
      </c>
      <c r="M128" s="5">
        <f t="shared" si="5"/>
        <v>-57</v>
      </c>
      <c r="N128" s="5">
        <f>M129-Table1[[#This Row],[Net_Daily_Intake]]</f>
        <v>-9</v>
      </c>
      <c r="O128" s="5">
        <f>M129-Table1[[#This Row],[Net_Daily_Intake]]/Table1[[#This Row],[Net_Daily_Intake]]</f>
        <v>-67</v>
      </c>
      <c r="P128" t="str">
        <f>IF(Table1[[#This Row],[Change_in_Net_Daily_Intake]]&gt;0,"Sustained Positive","Negative")</f>
        <v>Negative</v>
      </c>
      <c r="Q128" s="1">
        <f>(Table1[[#This Row],[Total_System_Load]]-Table1[[#This Row],[Total_Children_Under_Care]])/Table1[[#This Row],[Total_Children_Under_Care]]*100</f>
        <v>7.1044133476856839</v>
      </c>
      <c r="R128" s="1">
        <f>(Table1[[#This Row],[Children_discharged _from_HHS_ Care]]/Table1[[#This Row],[Children_transferred_out_of_CBP_custody]])</f>
        <v>1.360759493670886</v>
      </c>
    </row>
    <row r="129" spans="1:18" x14ac:dyDescent="0.3">
      <c r="A129">
        <v>128</v>
      </c>
      <c r="B129" s="7">
        <v>45134</v>
      </c>
      <c r="C129" s="5">
        <v>110</v>
      </c>
      <c r="D129" s="5">
        <v>272</v>
      </c>
      <c r="E129" s="5">
        <v>193</v>
      </c>
      <c r="F129" s="5">
        <v>7754</v>
      </c>
      <c r="G129" s="5">
        <v>259</v>
      </c>
      <c r="H129" t="str">
        <f t="shared" si="6"/>
        <v>Valid</v>
      </c>
      <c r="I129" t="str">
        <f t="shared" si="7"/>
        <v>Valid</v>
      </c>
      <c r="J129" s="5">
        <f t="shared" si="8"/>
        <v>7495</v>
      </c>
      <c r="K129" s="5">
        <f t="shared" si="9"/>
        <v>8026</v>
      </c>
      <c r="L129" s="5">
        <f>IF(Table1[[#This Row],[Total_System_Load]]&gt;80%*AVERAGE(Table1[Total_System_Load]),Table1[[#This Row],[Total_System_Load]]-Table1[[#This Row],[Total_Children_Under_Care]],0)</f>
        <v>531</v>
      </c>
      <c r="M129" s="5">
        <f t="shared" si="5"/>
        <v>-66</v>
      </c>
      <c r="N129" s="5">
        <f>M130-Table1[[#This Row],[Net_Daily_Intake]]</f>
        <v>-10</v>
      </c>
      <c r="O129" s="5">
        <f>M130-Table1[[#This Row],[Net_Daily_Intake]]/Table1[[#This Row],[Net_Daily_Intake]]</f>
        <v>-77</v>
      </c>
      <c r="P129" t="str">
        <f>IF(Table1[[#This Row],[Change_in_Net_Daily_Intake]]&gt;0,"Sustained Positive","Negative")</f>
        <v>Negative</v>
      </c>
      <c r="Q129" s="1">
        <f>(Table1[[#This Row],[Total_System_Load]]-Table1[[#This Row],[Total_Children_Under_Care]])/Table1[[#This Row],[Total_Children_Under_Care]]*100</f>
        <v>7.0847231487658435</v>
      </c>
      <c r="R129" s="1">
        <f>(Table1[[#This Row],[Children_discharged _from_HHS_ Care]]/Table1[[#This Row],[Children_transferred_out_of_CBP_custody]])</f>
        <v>1.3419689119170986</v>
      </c>
    </row>
    <row r="130" spans="1:18" x14ac:dyDescent="0.3">
      <c r="A130">
        <v>129</v>
      </c>
      <c r="B130" s="7">
        <v>45137</v>
      </c>
      <c r="C130" s="5">
        <v>166</v>
      </c>
      <c r="D130" s="5">
        <v>277</v>
      </c>
      <c r="E130" s="5">
        <v>229</v>
      </c>
      <c r="F130" s="5">
        <v>7671</v>
      </c>
      <c r="G130" s="5">
        <v>305</v>
      </c>
      <c r="H130" t="str">
        <f t="shared" si="6"/>
        <v>Valid</v>
      </c>
      <c r="I130" t="str">
        <f t="shared" si="7"/>
        <v>Valid</v>
      </c>
      <c r="J130" s="5">
        <f t="shared" si="8"/>
        <v>7366</v>
      </c>
      <c r="K130" s="5">
        <f t="shared" si="9"/>
        <v>7948</v>
      </c>
      <c r="L130" s="5">
        <f>IF(Table1[[#This Row],[Total_System_Load]]&gt;80%*AVERAGE(Table1[Total_System_Load]),Table1[[#This Row],[Total_System_Load]]-Table1[[#This Row],[Total_Children_Under_Care]],0)</f>
        <v>582</v>
      </c>
      <c r="M130" s="5">
        <f t="shared" ref="M130:M193" si="10">E130-G130</f>
        <v>-76</v>
      </c>
      <c r="N130" s="5">
        <f>M131-Table1[[#This Row],[Net_Daily_Intake]]</f>
        <v>34</v>
      </c>
      <c r="O130" s="5">
        <f>M131-Table1[[#This Row],[Net_Daily_Intake]]/Table1[[#This Row],[Net_Daily_Intake]]</f>
        <v>-43</v>
      </c>
      <c r="P130" t="str">
        <f>IF(Table1[[#This Row],[Change_in_Net_Daily_Intake]]&gt;0,"Sustained Positive","Negative")</f>
        <v>Sustained Positive</v>
      </c>
      <c r="Q130" s="1">
        <f>(Table1[[#This Row],[Total_System_Load]]-Table1[[#This Row],[Total_Children_Under_Care]])/Table1[[#This Row],[Total_Children_Under_Care]]*100</f>
        <v>7.9011675264729835</v>
      </c>
      <c r="R130" s="1">
        <f>(Table1[[#This Row],[Children_discharged _from_HHS_ Care]]/Table1[[#This Row],[Children_transferred_out_of_CBP_custody]])</f>
        <v>1.331877729257642</v>
      </c>
    </row>
    <row r="131" spans="1:18" x14ac:dyDescent="0.3">
      <c r="A131">
        <v>130</v>
      </c>
      <c r="B131" s="7">
        <v>45138</v>
      </c>
      <c r="C131" s="5">
        <v>136</v>
      </c>
      <c r="D131" s="5">
        <v>276</v>
      </c>
      <c r="E131" s="5">
        <v>178</v>
      </c>
      <c r="F131" s="5">
        <v>7800</v>
      </c>
      <c r="G131" s="5">
        <v>220</v>
      </c>
      <c r="H131" t="str">
        <f t="shared" ref="H131:H194" si="11">IF(E131&lt;=D131,"Valid","Invalid")</f>
        <v>Valid</v>
      </c>
      <c r="I131" t="str">
        <f t="shared" ref="I131:I194" si="12">IF(G131&lt;=F131,"Valid","Invalid")</f>
        <v>Valid</v>
      </c>
      <c r="J131" s="5">
        <f t="shared" ref="J131:J194" si="13">F131-G131</f>
        <v>7580</v>
      </c>
      <c r="K131" s="5">
        <f t="shared" ref="K131:K194" si="14">D131+F131</f>
        <v>8076</v>
      </c>
      <c r="L131" s="5">
        <f>IF(Table1[[#This Row],[Total_System_Load]]&gt;80%*AVERAGE(Table1[Total_System_Load]),Table1[[#This Row],[Total_System_Load]]-Table1[[#This Row],[Total_Children_Under_Care]],0)</f>
        <v>496</v>
      </c>
      <c r="M131" s="5">
        <f t="shared" si="10"/>
        <v>-42</v>
      </c>
      <c r="N131" s="5">
        <f>M132-Table1[[#This Row],[Net_Daily_Intake]]</f>
        <v>47</v>
      </c>
      <c r="O131" s="5">
        <f>M132-Table1[[#This Row],[Net_Daily_Intake]]/Table1[[#This Row],[Net_Daily_Intake]]</f>
        <v>4</v>
      </c>
      <c r="P131" t="str">
        <f>IF(Table1[[#This Row],[Change_in_Net_Daily_Intake]]&gt;0,"Sustained Positive","Negative")</f>
        <v>Sustained Positive</v>
      </c>
      <c r="Q131" s="1">
        <f>(Table1[[#This Row],[Total_System_Load]]-Table1[[#This Row],[Total_Children_Under_Care]])/Table1[[#This Row],[Total_Children_Under_Care]]*100</f>
        <v>6.5435356200527703</v>
      </c>
      <c r="R131" s="1">
        <f>(Table1[[#This Row],[Children_discharged _from_HHS_ Care]]/Table1[[#This Row],[Children_transferred_out_of_CBP_custody]])</f>
        <v>1.2359550561797752</v>
      </c>
    </row>
    <row r="132" spans="1:18" x14ac:dyDescent="0.3">
      <c r="A132">
        <v>131</v>
      </c>
      <c r="B132" s="7">
        <v>45139</v>
      </c>
      <c r="C132" s="5">
        <v>87</v>
      </c>
      <c r="D132" s="5">
        <v>246</v>
      </c>
      <c r="E132" s="5">
        <v>173</v>
      </c>
      <c r="F132" s="5">
        <v>8103</v>
      </c>
      <c r="G132" s="5">
        <v>168</v>
      </c>
      <c r="H132" t="str">
        <f t="shared" si="11"/>
        <v>Valid</v>
      </c>
      <c r="I132" t="str">
        <f t="shared" si="12"/>
        <v>Valid</v>
      </c>
      <c r="J132" s="5">
        <f t="shared" si="13"/>
        <v>7935</v>
      </c>
      <c r="K132" s="5">
        <f t="shared" si="14"/>
        <v>8349</v>
      </c>
      <c r="L132" s="5">
        <f>IF(Table1[[#This Row],[Total_System_Load]]&gt;80%*AVERAGE(Table1[Total_System_Load]),Table1[[#This Row],[Total_System_Load]]-Table1[[#This Row],[Total_Children_Under_Care]],0)</f>
        <v>414</v>
      </c>
      <c r="M132" s="5">
        <f t="shared" si="10"/>
        <v>5</v>
      </c>
      <c r="N132" s="5">
        <f>M133-Table1[[#This Row],[Net_Daily_Intake]]</f>
        <v>-119</v>
      </c>
      <c r="O132" s="5">
        <f>M133-Table1[[#This Row],[Net_Daily_Intake]]/Table1[[#This Row],[Net_Daily_Intake]]</f>
        <v>-115</v>
      </c>
      <c r="P132" t="str">
        <f>IF(Table1[[#This Row],[Change_in_Net_Daily_Intake]]&gt;0,"Sustained Positive","Negative")</f>
        <v>Negative</v>
      </c>
      <c r="Q132" s="1">
        <f>(Table1[[#This Row],[Total_System_Load]]-Table1[[#This Row],[Total_Children_Under_Care]])/Table1[[#This Row],[Total_Children_Under_Care]]*100</f>
        <v>5.2173913043478262</v>
      </c>
      <c r="R132" s="1">
        <f>(Table1[[#This Row],[Children_discharged _from_HHS_ Care]]/Table1[[#This Row],[Children_transferred_out_of_CBP_custody]])</f>
        <v>0.97109826589595372</v>
      </c>
    </row>
    <row r="133" spans="1:18" x14ac:dyDescent="0.3">
      <c r="A133">
        <v>132</v>
      </c>
      <c r="B133" s="7">
        <v>45140</v>
      </c>
      <c r="C133" s="5">
        <v>84</v>
      </c>
      <c r="D133" s="5">
        <v>171</v>
      </c>
      <c r="E133" s="5">
        <v>157</v>
      </c>
      <c r="F133" s="5">
        <v>8261</v>
      </c>
      <c r="G133" s="5">
        <v>271</v>
      </c>
      <c r="H133" t="str">
        <f t="shared" si="11"/>
        <v>Valid</v>
      </c>
      <c r="I133" t="str">
        <f t="shared" si="12"/>
        <v>Valid</v>
      </c>
      <c r="J133" s="5">
        <f t="shared" si="13"/>
        <v>7990</v>
      </c>
      <c r="K133" s="5">
        <f t="shared" si="14"/>
        <v>8432</v>
      </c>
      <c r="L133" s="5">
        <f>IF(Table1[[#This Row],[Total_System_Load]]&gt;80%*AVERAGE(Table1[Total_System_Load]),Table1[[#This Row],[Total_System_Load]]-Table1[[#This Row],[Total_Children_Under_Care]],0)</f>
        <v>442</v>
      </c>
      <c r="M133" s="5">
        <f t="shared" si="10"/>
        <v>-114</v>
      </c>
      <c r="N133" s="5">
        <f>M134-Table1[[#This Row],[Net_Daily_Intake]]</f>
        <v>-68</v>
      </c>
      <c r="O133" s="5">
        <f>M134-Table1[[#This Row],[Net_Daily_Intake]]/Table1[[#This Row],[Net_Daily_Intake]]</f>
        <v>-183</v>
      </c>
      <c r="P133" t="str">
        <f>IF(Table1[[#This Row],[Change_in_Net_Daily_Intake]]&gt;0,"Sustained Positive","Negative")</f>
        <v>Negative</v>
      </c>
      <c r="Q133" s="1">
        <f>(Table1[[#This Row],[Total_System_Load]]-Table1[[#This Row],[Total_Children_Under_Care]])/Table1[[#This Row],[Total_Children_Under_Care]]*100</f>
        <v>5.5319148936170208</v>
      </c>
      <c r="R133" s="1">
        <f>(Table1[[#This Row],[Children_discharged _from_HHS_ Care]]/Table1[[#This Row],[Children_transferred_out_of_CBP_custody]])</f>
        <v>1.7261146496815287</v>
      </c>
    </row>
    <row r="134" spans="1:18" x14ac:dyDescent="0.3">
      <c r="A134">
        <v>133</v>
      </c>
      <c r="B134" s="7">
        <v>45141</v>
      </c>
      <c r="C134" s="5">
        <v>167</v>
      </c>
      <c r="D134" s="5">
        <v>209</v>
      </c>
      <c r="E134" s="5">
        <v>157</v>
      </c>
      <c r="F134" s="5">
        <v>8294</v>
      </c>
      <c r="G134" s="5">
        <v>339</v>
      </c>
      <c r="H134" t="str">
        <f t="shared" si="11"/>
        <v>Valid</v>
      </c>
      <c r="I134" t="str">
        <f t="shared" si="12"/>
        <v>Valid</v>
      </c>
      <c r="J134" s="5">
        <f t="shared" si="13"/>
        <v>7955</v>
      </c>
      <c r="K134" s="5">
        <f t="shared" si="14"/>
        <v>8503</v>
      </c>
      <c r="L134" s="5">
        <f>IF(Table1[[#This Row],[Total_System_Load]]&gt;80%*AVERAGE(Table1[Total_System_Load]),Table1[[#This Row],[Total_System_Load]]-Table1[[#This Row],[Total_Children_Under_Care]],0)</f>
        <v>548</v>
      </c>
      <c r="M134" s="5">
        <f t="shared" si="10"/>
        <v>-182</v>
      </c>
      <c r="N134" s="5">
        <f>M135-Table1[[#This Row],[Net_Daily_Intake]]</f>
        <v>19</v>
      </c>
      <c r="O134" s="5">
        <f>M135-Table1[[#This Row],[Net_Daily_Intake]]/Table1[[#This Row],[Net_Daily_Intake]]</f>
        <v>-164</v>
      </c>
      <c r="P134" t="str">
        <f>IF(Table1[[#This Row],[Change_in_Net_Daily_Intake]]&gt;0,"Sustained Positive","Negative")</f>
        <v>Sustained Positive</v>
      </c>
      <c r="Q134" s="1">
        <f>(Table1[[#This Row],[Total_System_Load]]-Table1[[#This Row],[Total_Children_Under_Care]])/Table1[[#This Row],[Total_Children_Under_Care]]*100</f>
        <v>6.8887492143306099</v>
      </c>
      <c r="R134" s="1">
        <f>(Table1[[#This Row],[Children_discharged _from_HHS_ Care]]/Table1[[#This Row],[Children_transferred_out_of_CBP_custody]])</f>
        <v>2.1592356687898091</v>
      </c>
    </row>
    <row r="135" spans="1:18" x14ac:dyDescent="0.3">
      <c r="A135">
        <v>134</v>
      </c>
      <c r="B135" s="7">
        <v>45144</v>
      </c>
      <c r="C135" s="5">
        <v>109</v>
      </c>
      <c r="D135" s="5">
        <v>245</v>
      </c>
      <c r="E135" s="5">
        <v>159</v>
      </c>
      <c r="F135" s="5">
        <v>8298</v>
      </c>
      <c r="G135" s="5">
        <v>322</v>
      </c>
      <c r="H135" t="str">
        <f t="shared" si="11"/>
        <v>Valid</v>
      </c>
      <c r="I135" t="str">
        <f t="shared" si="12"/>
        <v>Valid</v>
      </c>
      <c r="J135" s="5">
        <f t="shared" si="13"/>
        <v>7976</v>
      </c>
      <c r="K135" s="5">
        <f t="shared" si="14"/>
        <v>8543</v>
      </c>
      <c r="L135" s="5">
        <f>IF(Table1[[#This Row],[Total_System_Load]]&gt;80%*AVERAGE(Table1[Total_System_Load]),Table1[[#This Row],[Total_System_Load]]-Table1[[#This Row],[Total_Children_Under_Care]],0)</f>
        <v>567</v>
      </c>
      <c r="M135" s="5">
        <f t="shared" si="10"/>
        <v>-163</v>
      </c>
      <c r="N135" s="5">
        <f>M136-Table1[[#This Row],[Net_Daily_Intake]]</f>
        <v>137</v>
      </c>
      <c r="O135" s="5">
        <f>M136-Table1[[#This Row],[Net_Daily_Intake]]/Table1[[#This Row],[Net_Daily_Intake]]</f>
        <v>-27</v>
      </c>
      <c r="P135" t="str">
        <f>IF(Table1[[#This Row],[Change_in_Net_Daily_Intake]]&gt;0,"Sustained Positive","Negative")</f>
        <v>Sustained Positive</v>
      </c>
      <c r="Q135" s="1">
        <f>(Table1[[#This Row],[Total_System_Load]]-Table1[[#This Row],[Total_Children_Under_Care]])/Table1[[#This Row],[Total_Children_Under_Care]]*100</f>
        <v>7.1088264794383154</v>
      </c>
      <c r="R135" s="1">
        <f>(Table1[[#This Row],[Children_discharged _from_HHS_ Care]]/Table1[[#This Row],[Children_transferred_out_of_CBP_custody]])</f>
        <v>2.0251572327044025</v>
      </c>
    </row>
    <row r="136" spans="1:18" x14ac:dyDescent="0.3">
      <c r="A136">
        <v>135</v>
      </c>
      <c r="B136" s="7">
        <v>45145</v>
      </c>
      <c r="C136" s="5">
        <v>156</v>
      </c>
      <c r="D136" s="5">
        <v>256</v>
      </c>
      <c r="E136" s="5">
        <v>176</v>
      </c>
      <c r="F136" s="5">
        <v>8493</v>
      </c>
      <c r="G136" s="5">
        <v>202</v>
      </c>
      <c r="H136" t="str">
        <f t="shared" si="11"/>
        <v>Valid</v>
      </c>
      <c r="I136" t="str">
        <f t="shared" si="12"/>
        <v>Valid</v>
      </c>
      <c r="J136" s="5">
        <f t="shared" si="13"/>
        <v>8291</v>
      </c>
      <c r="K136" s="5">
        <f t="shared" si="14"/>
        <v>8749</v>
      </c>
      <c r="L136" s="5">
        <f>IF(Table1[[#This Row],[Total_System_Load]]&gt;80%*AVERAGE(Table1[Total_System_Load]),Table1[[#This Row],[Total_System_Load]]-Table1[[#This Row],[Total_Children_Under_Care]],0)</f>
        <v>458</v>
      </c>
      <c r="M136" s="5">
        <f t="shared" si="10"/>
        <v>-26</v>
      </c>
      <c r="N136" s="5">
        <f>M137-Table1[[#This Row],[Net_Daily_Intake]]</f>
        <v>11</v>
      </c>
      <c r="O136" s="5">
        <f>M137-Table1[[#This Row],[Net_Daily_Intake]]/Table1[[#This Row],[Net_Daily_Intake]]</f>
        <v>-16</v>
      </c>
      <c r="P136" t="str">
        <f>IF(Table1[[#This Row],[Change_in_Net_Daily_Intake]]&gt;0,"Sustained Positive","Negative")</f>
        <v>Sustained Positive</v>
      </c>
      <c r="Q136" s="1">
        <f>(Table1[[#This Row],[Total_System_Load]]-Table1[[#This Row],[Total_Children_Under_Care]])/Table1[[#This Row],[Total_Children_Under_Care]]*100</f>
        <v>5.5240622361596916</v>
      </c>
      <c r="R136" s="1">
        <f>(Table1[[#This Row],[Children_discharged _from_HHS_ Care]]/Table1[[#This Row],[Children_transferred_out_of_CBP_custody]])</f>
        <v>1.1477272727272727</v>
      </c>
    </row>
    <row r="137" spans="1:18" x14ac:dyDescent="0.3">
      <c r="A137">
        <v>136</v>
      </c>
      <c r="B137" s="7">
        <v>45146</v>
      </c>
      <c r="C137" s="5">
        <v>125</v>
      </c>
      <c r="D137" s="5">
        <v>232</v>
      </c>
      <c r="E137" s="5">
        <v>192</v>
      </c>
      <c r="F137" s="5">
        <v>8725</v>
      </c>
      <c r="G137" s="5">
        <v>207</v>
      </c>
      <c r="H137" t="str">
        <f t="shared" si="11"/>
        <v>Valid</v>
      </c>
      <c r="I137" t="str">
        <f t="shared" si="12"/>
        <v>Valid</v>
      </c>
      <c r="J137" s="5">
        <f t="shared" si="13"/>
        <v>8518</v>
      </c>
      <c r="K137" s="5">
        <f t="shared" si="14"/>
        <v>8957</v>
      </c>
      <c r="L137" s="5">
        <f>IF(Table1[[#This Row],[Total_System_Load]]&gt;80%*AVERAGE(Table1[Total_System_Load]),Table1[[#This Row],[Total_System_Load]]-Table1[[#This Row],[Total_Children_Under_Care]],0)</f>
        <v>439</v>
      </c>
      <c r="M137" s="5">
        <f t="shared" si="10"/>
        <v>-15</v>
      </c>
      <c r="N137" s="5">
        <f>M138-Table1[[#This Row],[Net_Daily_Intake]]</f>
        <v>-68</v>
      </c>
      <c r="O137" s="5">
        <f>M138-Table1[[#This Row],[Net_Daily_Intake]]/Table1[[#This Row],[Net_Daily_Intake]]</f>
        <v>-84</v>
      </c>
      <c r="P137" t="str">
        <f>IF(Table1[[#This Row],[Change_in_Net_Daily_Intake]]&gt;0,"Sustained Positive","Negative")</f>
        <v>Negative</v>
      </c>
      <c r="Q137" s="1">
        <f>(Table1[[#This Row],[Total_System_Load]]-Table1[[#This Row],[Total_Children_Under_Care]])/Table1[[#This Row],[Total_Children_Under_Care]]*100</f>
        <v>5.1537919699459973</v>
      </c>
      <c r="R137" s="1">
        <f>(Table1[[#This Row],[Children_discharged _from_HHS_ Care]]/Table1[[#This Row],[Children_transferred_out_of_CBP_custody]])</f>
        <v>1.078125</v>
      </c>
    </row>
    <row r="138" spans="1:18" x14ac:dyDescent="0.3">
      <c r="A138">
        <v>137</v>
      </c>
      <c r="B138" s="7">
        <v>45147</v>
      </c>
      <c r="C138" s="5">
        <v>118</v>
      </c>
      <c r="D138" s="5">
        <v>139</v>
      </c>
      <c r="E138" s="5">
        <v>168</v>
      </c>
      <c r="F138" s="5">
        <v>8888</v>
      </c>
      <c r="G138" s="5">
        <v>251</v>
      </c>
      <c r="H138" t="str">
        <f t="shared" si="11"/>
        <v>Invalid</v>
      </c>
      <c r="I138" t="str">
        <f t="shared" si="12"/>
        <v>Valid</v>
      </c>
      <c r="J138" s="5">
        <f t="shared" si="13"/>
        <v>8637</v>
      </c>
      <c r="K138" s="5">
        <f t="shared" si="14"/>
        <v>9027</v>
      </c>
      <c r="L138" s="5">
        <f>IF(Table1[[#This Row],[Total_System_Load]]&gt;80%*AVERAGE(Table1[Total_System_Load]),Table1[[#This Row],[Total_System_Load]]-Table1[[#This Row],[Total_Children_Under_Care]],0)</f>
        <v>390</v>
      </c>
      <c r="M138" s="5">
        <f t="shared" si="10"/>
        <v>-83</v>
      </c>
      <c r="N138" s="5">
        <f>M139-Table1[[#This Row],[Net_Daily_Intake]]</f>
        <v>-131</v>
      </c>
      <c r="O138" s="5">
        <f>M139-Table1[[#This Row],[Net_Daily_Intake]]/Table1[[#This Row],[Net_Daily_Intake]]</f>
        <v>-215</v>
      </c>
      <c r="P138" t="str">
        <f>IF(Table1[[#This Row],[Change_in_Net_Daily_Intake]]&gt;0,"Sustained Positive","Negative")</f>
        <v>Negative</v>
      </c>
      <c r="Q138" s="1">
        <f>(Table1[[#This Row],[Total_System_Load]]-Table1[[#This Row],[Total_Children_Under_Care]])/Table1[[#This Row],[Total_Children_Under_Care]]*100</f>
        <v>4.5154567558179926</v>
      </c>
      <c r="R138" s="1">
        <f>(Table1[[#This Row],[Children_discharged _from_HHS_ Care]]/Table1[[#This Row],[Children_transferred_out_of_CBP_custody]])</f>
        <v>1.4940476190476191</v>
      </c>
    </row>
    <row r="139" spans="1:18" x14ac:dyDescent="0.3">
      <c r="A139">
        <v>138</v>
      </c>
      <c r="B139" s="7">
        <v>45148</v>
      </c>
      <c r="C139" s="5">
        <v>142</v>
      </c>
      <c r="D139" s="5">
        <v>235</v>
      </c>
      <c r="E139" s="5">
        <v>139</v>
      </c>
      <c r="F139" s="5">
        <v>8914</v>
      </c>
      <c r="G139" s="5">
        <v>353</v>
      </c>
      <c r="H139" t="str">
        <f t="shared" si="11"/>
        <v>Valid</v>
      </c>
      <c r="I139" t="str">
        <f t="shared" si="12"/>
        <v>Valid</v>
      </c>
      <c r="J139" s="5">
        <f t="shared" si="13"/>
        <v>8561</v>
      </c>
      <c r="K139" s="5">
        <f t="shared" si="14"/>
        <v>9149</v>
      </c>
      <c r="L139" s="5">
        <f>IF(Table1[[#This Row],[Total_System_Load]]&gt;80%*AVERAGE(Table1[Total_System_Load]),Table1[[#This Row],[Total_System_Load]]-Table1[[#This Row],[Total_Children_Under_Care]],0)</f>
        <v>588</v>
      </c>
      <c r="M139" s="5">
        <f t="shared" si="10"/>
        <v>-214</v>
      </c>
      <c r="N139" s="5">
        <f>M140-Table1[[#This Row],[Net_Daily_Intake]]</f>
        <v>101</v>
      </c>
      <c r="O139" s="5">
        <f>M140-Table1[[#This Row],[Net_Daily_Intake]]/Table1[[#This Row],[Net_Daily_Intake]]</f>
        <v>-114</v>
      </c>
      <c r="P139" t="str">
        <f>IF(Table1[[#This Row],[Change_in_Net_Daily_Intake]]&gt;0,"Sustained Positive","Negative")</f>
        <v>Sustained Positive</v>
      </c>
      <c r="Q139" s="1">
        <f>(Table1[[#This Row],[Total_System_Load]]-Table1[[#This Row],[Total_Children_Under_Care]])/Table1[[#This Row],[Total_Children_Under_Care]]*100</f>
        <v>6.8683565004088303</v>
      </c>
      <c r="R139" s="1">
        <f>(Table1[[#This Row],[Children_discharged _from_HHS_ Care]]/Table1[[#This Row],[Children_transferred_out_of_CBP_custody]])</f>
        <v>2.5395683453237412</v>
      </c>
    </row>
    <row r="140" spans="1:18" x14ac:dyDescent="0.3">
      <c r="A140">
        <v>139</v>
      </c>
      <c r="B140" s="7">
        <v>45154</v>
      </c>
      <c r="C140" s="5">
        <v>148</v>
      </c>
      <c r="D140" s="5">
        <v>245</v>
      </c>
      <c r="E140" s="5">
        <v>175</v>
      </c>
      <c r="F140" s="5">
        <v>9634</v>
      </c>
      <c r="G140" s="5">
        <v>288</v>
      </c>
      <c r="H140" t="str">
        <f t="shared" si="11"/>
        <v>Valid</v>
      </c>
      <c r="I140" t="str">
        <f t="shared" si="12"/>
        <v>Valid</v>
      </c>
      <c r="J140" s="5">
        <f t="shared" si="13"/>
        <v>9346</v>
      </c>
      <c r="K140" s="5">
        <f t="shared" si="14"/>
        <v>9879</v>
      </c>
      <c r="L140" s="5">
        <f>IF(Table1[[#This Row],[Total_System_Load]]&gt;80%*AVERAGE(Table1[Total_System_Load]),Table1[[#This Row],[Total_System_Load]]-Table1[[#This Row],[Total_Children_Under_Care]],0)</f>
        <v>533</v>
      </c>
      <c r="M140" s="5">
        <f t="shared" si="10"/>
        <v>-113</v>
      </c>
      <c r="N140" s="5">
        <f>M141-Table1[[#This Row],[Net_Daily_Intake]]</f>
        <v>-84</v>
      </c>
      <c r="O140" s="5">
        <f>M141-Table1[[#This Row],[Net_Daily_Intake]]/Table1[[#This Row],[Net_Daily_Intake]]</f>
        <v>-198</v>
      </c>
      <c r="P140" t="str">
        <f>IF(Table1[[#This Row],[Change_in_Net_Daily_Intake]]&gt;0,"Sustained Positive","Negative")</f>
        <v>Negative</v>
      </c>
      <c r="Q140" s="1">
        <f>(Table1[[#This Row],[Total_System_Load]]-Table1[[#This Row],[Total_Children_Under_Care]])/Table1[[#This Row],[Total_Children_Under_Care]]*100</f>
        <v>5.702974534560239</v>
      </c>
      <c r="R140" s="1">
        <f>(Table1[[#This Row],[Children_discharged _from_HHS_ Care]]/Table1[[#This Row],[Children_transferred_out_of_CBP_custody]])</f>
        <v>1.6457142857142857</v>
      </c>
    </row>
    <row r="141" spans="1:18" x14ac:dyDescent="0.3">
      <c r="A141">
        <v>140</v>
      </c>
      <c r="B141" s="7">
        <v>45155</v>
      </c>
      <c r="C141" s="5">
        <v>119</v>
      </c>
      <c r="D141" s="5">
        <v>219</v>
      </c>
      <c r="E141" s="5">
        <v>210</v>
      </c>
      <c r="F141" s="5">
        <v>9694</v>
      </c>
      <c r="G141" s="5">
        <v>407</v>
      </c>
      <c r="H141" t="str">
        <f t="shared" si="11"/>
        <v>Valid</v>
      </c>
      <c r="I141" t="str">
        <f t="shared" si="12"/>
        <v>Valid</v>
      </c>
      <c r="J141" s="5">
        <f t="shared" si="13"/>
        <v>9287</v>
      </c>
      <c r="K141" s="5">
        <f t="shared" si="14"/>
        <v>9913</v>
      </c>
      <c r="L141" s="5">
        <f>IF(Table1[[#This Row],[Total_System_Load]]&gt;80%*AVERAGE(Table1[Total_System_Load]),Table1[[#This Row],[Total_System_Load]]-Table1[[#This Row],[Total_Children_Under_Care]],0)</f>
        <v>626</v>
      </c>
      <c r="M141" s="5">
        <f t="shared" si="10"/>
        <v>-197</v>
      </c>
      <c r="N141" s="5">
        <f>M142-Table1[[#This Row],[Net_Daily_Intake]]</f>
        <v>-44</v>
      </c>
      <c r="O141" s="5">
        <f>M142-Table1[[#This Row],[Net_Daily_Intake]]/Table1[[#This Row],[Net_Daily_Intake]]</f>
        <v>-242</v>
      </c>
      <c r="P141" t="str">
        <f>IF(Table1[[#This Row],[Change_in_Net_Daily_Intake]]&gt;0,"Sustained Positive","Negative")</f>
        <v>Negative</v>
      </c>
      <c r="Q141" s="1">
        <f>(Table1[[#This Row],[Total_System_Load]]-Table1[[#This Row],[Total_Children_Under_Care]])/Table1[[#This Row],[Total_Children_Under_Care]]*100</f>
        <v>6.7406051469796484</v>
      </c>
      <c r="R141" s="1">
        <f>(Table1[[#This Row],[Children_discharged _from_HHS_ Care]]/Table1[[#This Row],[Children_transferred_out_of_CBP_custody]])</f>
        <v>1.9380952380952381</v>
      </c>
    </row>
    <row r="142" spans="1:18" x14ac:dyDescent="0.3">
      <c r="A142">
        <v>141</v>
      </c>
      <c r="B142" s="7">
        <v>45158</v>
      </c>
      <c r="C142" s="5">
        <v>105</v>
      </c>
      <c r="D142" s="5">
        <v>210</v>
      </c>
      <c r="E142" s="5">
        <v>149</v>
      </c>
      <c r="F142" s="5">
        <v>9483</v>
      </c>
      <c r="G142" s="5">
        <v>390</v>
      </c>
      <c r="H142" t="str">
        <f t="shared" si="11"/>
        <v>Valid</v>
      </c>
      <c r="I142" t="str">
        <f t="shared" si="12"/>
        <v>Valid</v>
      </c>
      <c r="J142" s="5">
        <f t="shared" si="13"/>
        <v>9093</v>
      </c>
      <c r="K142" s="5">
        <f t="shared" si="14"/>
        <v>9693</v>
      </c>
      <c r="L142" s="5">
        <f>IF(Table1[[#This Row],[Total_System_Load]]&gt;80%*AVERAGE(Table1[Total_System_Load]),Table1[[#This Row],[Total_System_Load]]-Table1[[#This Row],[Total_Children_Under_Care]],0)</f>
        <v>600</v>
      </c>
      <c r="M142" s="5">
        <f t="shared" si="10"/>
        <v>-241</v>
      </c>
      <c r="N142" s="5">
        <f>M143-Table1[[#This Row],[Net_Daily_Intake]]</f>
        <v>123</v>
      </c>
      <c r="O142" s="5">
        <f>M143-Table1[[#This Row],[Net_Daily_Intake]]/Table1[[#This Row],[Net_Daily_Intake]]</f>
        <v>-119</v>
      </c>
      <c r="P142" t="str">
        <f>IF(Table1[[#This Row],[Change_in_Net_Daily_Intake]]&gt;0,"Sustained Positive","Negative")</f>
        <v>Sustained Positive</v>
      </c>
      <c r="Q142" s="1">
        <f>(Table1[[#This Row],[Total_System_Load]]-Table1[[#This Row],[Total_Children_Under_Care]])/Table1[[#This Row],[Total_Children_Under_Care]]*100</f>
        <v>6.598482349059716</v>
      </c>
      <c r="R142" s="1">
        <f>(Table1[[#This Row],[Children_discharged _from_HHS_ Care]]/Table1[[#This Row],[Children_transferred_out_of_CBP_custody]])</f>
        <v>2.6174496644295302</v>
      </c>
    </row>
    <row r="143" spans="1:18" x14ac:dyDescent="0.3">
      <c r="A143">
        <v>142</v>
      </c>
      <c r="B143" s="7">
        <v>45159</v>
      </c>
      <c r="C143" s="5">
        <v>143</v>
      </c>
      <c r="D143" s="5">
        <v>203</v>
      </c>
      <c r="E143" s="5">
        <v>163</v>
      </c>
      <c r="F143" s="5">
        <v>9668</v>
      </c>
      <c r="G143" s="5">
        <v>281</v>
      </c>
      <c r="H143" t="str">
        <f t="shared" si="11"/>
        <v>Valid</v>
      </c>
      <c r="I143" t="str">
        <f t="shared" si="12"/>
        <v>Valid</v>
      </c>
      <c r="J143" s="5">
        <f t="shared" si="13"/>
        <v>9387</v>
      </c>
      <c r="K143" s="5">
        <f t="shared" si="14"/>
        <v>9871</v>
      </c>
      <c r="L143" s="5">
        <f>IF(Table1[[#This Row],[Total_System_Load]]&gt;80%*AVERAGE(Table1[Total_System_Load]),Table1[[#This Row],[Total_System_Load]]-Table1[[#This Row],[Total_Children_Under_Care]],0)</f>
        <v>484</v>
      </c>
      <c r="M143" s="5">
        <f t="shared" si="10"/>
        <v>-118</v>
      </c>
      <c r="N143" s="5">
        <f>M144-Table1[[#This Row],[Net_Daily_Intake]]</f>
        <v>40</v>
      </c>
      <c r="O143" s="5">
        <f>M144-Table1[[#This Row],[Net_Daily_Intake]]/Table1[[#This Row],[Net_Daily_Intake]]</f>
        <v>-79</v>
      </c>
      <c r="P143" t="str">
        <f>IF(Table1[[#This Row],[Change_in_Net_Daily_Intake]]&gt;0,"Sustained Positive","Negative")</f>
        <v>Sustained Positive</v>
      </c>
      <c r="Q143" s="1">
        <f>(Table1[[#This Row],[Total_System_Load]]-Table1[[#This Row],[Total_Children_Under_Care]])/Table1[[#This Row],[Total_Children_Under_Care]]*100</f>
        <v>5.156066901033344</v>
      </c>
      <c r="R143" s="1">
        <f>(Table1[[#This Row],[Children_discharged _from_HHS_ Care]]/Table1[[#This Row],[Children_transferred_out_of_CBP_custody]])</f>
        <v>1.7239263803680982</v>
      </c>
    </row>
    <row r="144" spans="1:18" x14ac:dyDescent="0.3">
      <c r="A144">
        <v>143</v>
      </c>
      <c r="B144" s="7">
        <v>45160</v>
      </c>
      <c r="C144" s="5">
        <v>119</v>
      </c>
      <c r="D144" s="5">
        <v>209</v>
      </c>
      <c r="E144" s="5">
        <v>152</v>
      </c>
      <c r="F144" s="5">
        <v>9921</v>
      </c>
      <c r="G144" s="5">
        <v>230</v>
      </c>
      <c r="H144" t="str">
        <f t="shared" si="11"/>
        <v>Valid</v>
      </c>
      <c r="I144" t="str">
        <f t="shared" si="12"/>
        <v>Valid</v>
      </c>
      <c r="J144" s="5">
        <f t="shared" si="13"/>
        <v>9691</v>
      </c>
      <c r="K144" s="5">
        <f t="shared" si="14"/>
        <v>10130</v>
      </c>
      <c r="L144" s="5">
        <f>IF(Table1[[#This Row],[Total_System_Load]]&gt;80%*AVERAGE(Table1[Total_System_Load]),Table1[[#This Row],[Total_System_Load]]-Table1[[#This Row],[Total_Children_Under_Care]],0)</f>
        <v>439</v>
      </c>
      <c r="M144" s="5">
        <f t="shared" si="10"/>
        <v>-78</v>
      </c>
      <c r="N144" s="5">
        <f>M145-Table1[[#This Row],[Net_Daily_Intake]]</f>
        <v>-26</v>
      </c>
      <c r="O144" s="5">
        <f>M145-Table1[[#This Row],[Net_Daily_Intake]]/Table1[[#This Row],[Net_Daily_Intake]]</f>
        <v>-105</v>
      </c>
      <c r="P144" t="str">
        <f>IF(Table1[[#This Row],[Change_in_Net_Daily_Intake]]&gt;0,"Sustained Positive","Negative")</f>
        <v>Negative</v>
      </c>
      <c r="Q144" s="1">
        <f>(Table1[[#This Row],[Total_System_Load]]-Table1[[#This Row],[Total_Children_Under_Care]])/Table1[[#This Row],[Total_Children_Under_Care]]*100</f>
        <v>4.5299762666391494</v>
      </c>
      <c r="R144" s="1">
        <f>(Table1[[#This Row],[Children_discharged _from_HHS_ Care]]/Table1[[#This Row],[Children_transferred_out_of_CBP_custody]])</f>
        <v>1.513157894736842</v>
      </c>
    </row>
    <row r="145" spans="1:18" x14ac:dyDescent="0.3">
      <c r="A145">
        <v>144</v>
      </c>
      <c r="B145" s="7">
        <v>45161</v>
      </c>
      <c r="C145" s="5">
        <v>155</v>
      </c>
      <c r="D145" s="5">
        <v>212</v>
      </c>
      <c r="E145" s="5">
        <v>181</v>
      </c>
      <c r="F145" s="5">
        <v>10071</v>
      </c>
      <c r="G145" s="5">
        <v>285</v>
      </c>
      <c r="H145" t="str">
        <f t="shared" si="11"/>
        <v>Valid</v>
      </c>
      <c r="I145" t="str">
        <f t="shared" si="12"/>
        <v>Valid</v>
      </c>
      <c r="J145" s="5">
        <f t="shared" si="13"/>
        <v>9786</v>
      </c>
      <c r="K145" s="5">
        <f t="shared" si="14"/>
        <v>10283</v>
      </c>
      <c r="L145" s="5">
        <f>IF(Table1[[#This Row],[Total_System_Load]]&gt;80%*AVERAGE(Table1[Total_System_Load]),Table1[[#This Row],[Total_System_Load]]-Table1[[#This Row],[Total_Children_Under_Care]],0)</f>
        <v>497</v>
      </c>
      <c r="M145" s="5">
        <f t="shared" si="10"/>
        <v>-104</v>
      </c>
      <c r="N145" s="5">
        <f>M146-Table1[[#This Row],[Net_Daily_Intake]]</f>
        <v>-166</v>
      </c>
      <c r="O145" s="5">
        <f>M146-Table1[[#This Row],[Net_Daily_Intake]]/Table1[[#This Row],[Net_Daily_Intake]]</f>
        <v>-271</v>
      </c>
      <c r="P145" t="str">
        <f>IF(Table1[[#This Row],[Change_in_Net_Daily_Intake]]&gt;0,"Sustained Positive","Negative")</f>
        <v>Negative</v>
      </c>
      <c r="Q145" s="1">
        <f>(Table1[[#This Row],[Total_System_Load]]-Table1[[#This Row],[Total_Children_Under_Care]])/Table1[[#This Row],[Total_Children_Under_Care]]*100</f>
        <v>5.0786838340486407</v>
      </c>
      <c r="R145" s="1">
        <f>(Table1[[#This Row],[Children_discharged _from_HHS_ Care]]/Table1[[#This Row],[Children_transferred_out_of_CBP_custody]])</f>
        <v>1.5745856353591161</v>
      </c>
    </row>
    <row r="146" spans="1:18" x14ac:dyDescent="0.3">
      <c r="A146">
        <v>145</v>
      </c>
      <c r="B146" s="7">
        <v>45162</v>
      </c>
      <c r="C146" s="5">
        <v>109</v>
      </c>
      <c r="D146" s="5">
        <v>214</v>
      </c>
      <c r="E146" s="5">
        <v>173</v>
      </c>
      <c r="F146" s="5">
        <v>10026</v>
      </c>
      <c r="G146" s="5">
        <v>443</v>
      </c>
      <c r="H146" t="str">
        <f t="shared" si="11"/>
        <v>Valid</v>
      </c>
      <c r="I146" t="str">
        <f t="shared" si="12"/>
        <v>Valid</v>
      </c>
      <c r="J146" s="5">
        <f t="shared" si="13"/>
        <v>9583</v>
      </c>
      <c r="K146" s="5">
        <f t="shared" si="14"/>
        <v>10240</v>
      </c>
      <c r="L146" s="5">
        <f>IF(Table1[[#This Row],[Total_System_Load]]&gt;80%*AVERAGE(Table1[Total_System_Load]),Table1[[#This Row],[Total_System_Load]]-Table1[[#This Row],[Total_Children_Under_Care]],0)</f>
        <v>657</v>
      </c>
      <c r="M146" s="5">
        <f t="shared" si="10"/>
        <v>-270</v>
      </c>
      <c r="N146" s="5">
        <f>M147-Table1[[#This Row],[Net_Daily_Intake]]</f>
        <v>-26</v>
      </c>
      <c r="O146" s="5">
        <f>M147-Table1[[#This Row],[Net_Daily_Intake]]/Table1[[#This Row],[Net_Daily_Intake]]</f>
        <v>-297</v>
      </c>
      <c r="P146" t="str">
        <f>IF(Table1[[#This Row],[Change_in_Net_Daily_Intake]]&gt;0,"Sustained Positive","Negative")</f>
        <v>Negative</v>
      </c>
      <c r="Q146" s="1">
        <f>(Table1[[#This Row],[Total_System_Load]]-Table1[[#This Row],[Total_Children_Under_Care]])/Table1[[#This Row],[Total_Children_Under_Care]]*100</f>
        <v>6.8558906396744241</v>
      </c>
      <c r="R146" s="1">
        <f>(Table1[[#This Row],[Children_discharged _from_HHS_ Care]]/Table1[[#This Row],[Children_transferred_out_of_CBP_custody]])</f>
        <v>2.5606936416184971</v>
      </c>
    </row>
    <row r="147" spans="1:18" x14ac:dyDescent="0.3">
      <c r="A147">
        <v>146</v>
      </c>
      <c r="B147" s="7">
        <v>45165</v>
      </c>
      <c r="C147" s="5">
        <v>191</v>
      </c>
      <c r="D147" s="5">
        <v>283</v>
      </c>
      <c r="E147" s="5">
        <v>192</v>
      </c>
      <c r="F147" s="5">
        <v>9873</v>
      </c>
      <c r="G147" s="5">
        <v>488</v>
      </c>
      <c r="H147" t="str">
        <f t="shared" si="11"/>
        <v>Valid</v>
      </c>
      <c r="I147" t="str">
        <f t="shared" si="12"/>
        <v>Valid</v>
      </c>
      <c r="J147" s="5">
        <f t="shared" si="13"/>
        <v>9385</v>
      </c>
      <c r="K147" s="5">
        <f t="shared" si="14"/>
        <v>10156</v>
      </c>
      <c r="L147" s="5">
        <f>IF(Table1[[#This Row],[Total_System_Load]]&gt;80%*AVERAGE(Table1[Total_System_Load]),Table1[[#This Row],[Total_System_Load]]-Table1[[#This Row],[Total_Children_Under_Care]],0)</f>
        <v>771</v>
      </c>
      <c r="M147" s="5">
        <f t="shared" si="10"/>
        <v>-296</v>
      </c>
      <c r="N147" s="5">
        <f>M148-Table1[[#This Row],[Net_Daily_Intake]]</f>
        <v>104</v>
      </c>
      <c r="O147" s="5">
        <f>M148-Table1[[#This Row],[Net_Daily_Intake]]/Table1[[#This Row],[Net_Daily_Intake]]</f>
        <v>-193</v>
      </c>
      <c r="P147" t="str">
        <f>IF(Table1[[#This Row],[Change_in_Net_Daily_Intake]]&gt;0,"Sustained Positive","Negative")</f>
        <v>Sustained Positive</v>
      </c>
      <c r="Q147" s="1">
        <f>(Table1[[#This Row],[Total_System_Load]]-Table1[[#This Row],[Total_Children_Under_Care]])/Table1[[#This Row],[Total_Children_Under_Care]]*100</f>
        <v>8.2152370804475225</v>
      </c>
      <c r="R147" s="1">
        <f>(Table1[[#This Row],[Children_discharged _from_HHS_ Care]]/Table1[[#This Row],[Children_transferred_out_of_CBP_custody]])</f>
        <v>2.5416666666666665</v>
      </c>
    </row>
    <row r="148" spans="1:18" x14ac:dyDescent="0.3">
      <c r="A148">
        <v>147</v>
      </c>
      <c r="B148" s="7">
        <v>45166</v>
      </c>
      <c r="C148" s="5">
        <v>170</v>
      </c>
      <c r="D148" s="5">
        <v>297</v>
      </c>
      <c r="E148" s="5">
        <v>196</v>
      </c>
      <c r="F148" s="5">
        <v>10012</v>
      </c>
      <c r="G148" s="5">
        <v>388</v>
      </c>
      <c r="H148" t="str">
        <f t="shared" si="11"/>
        <v>Valid</v>
      </c>
      <c r="I148" t="str">
        <f t="shared" si="12"/>
        <v>Valid</v>
      </c>
      <c r="J148" s="5">
        <f t="shared" si="13"/>
        <v>9624</v>
      </c>
      <c r="K148" s="5">
        <f t="shared" si="14"/>
        <v>10309</v>
      </c>
      <c r="L148" s="5">
        <f>IF(Table1[[#This Row],[Total_System_Load]]&gt;80%*AVERAGE(Table1[Total_System_Load]),Table1[[#This Row],[Total_System_Load]]-Table1[[#This Row],[Total_Children_Under_Care]],0)</f>
        <v>685</v>
      </c>
      <c r="M148" s="5">
        <f t="shared" si="10"/>
        <v>-192</v>
      </c>
      <c r="N148" s="5">
        <f>M149-Table1[[#This Row],[Net_Daily_Intake]]</f>
        <v>120</v>
      </c>
      <c r="O148" s="5">
        <f>M149-Table1[[#This Row],[Net_Daily_Intake]]/Table1[[#This Row],[Net_Daily_Intake]]</f>
        <v>-73</v>
      </c>
      <c r="P148" t="str">
        <f>IF(Table1[[#This Row],[Change_in_Net_Daily_Intake]]&gt;0,"Sustained Positive","Negative")</f>
        <v>Sustained Positive</v>
      </c>
      <c r="Q148" s="1">
        <f>(Table1[[#This Row],[Total_System_Load]]-Table1[[#This Row],[Total_Children_Under_Care]])/Table1[[#This Row],[Total_Children_Under_Care]]*100</f>
        <v>7.1176226101413134</v>
      </c>
      <c r="R148" s="1">
        <f>(Table1[[#This Row],[Children_discharged _from_HHS_ Care]]/Table1[[#This Row],[Children_transferred_out_of_CBP_custody]])</f>
        <v>1.9795918367346939</v>
      </c>
    </row>
    <row r="149" spans="1:18" x14ac:dyDescent="0.3">
      <c r="A149">
        <v>148</v>
      </c>
      <c r="B149" s="7">
        <v>45167</v>
      </c>
      <c r="C149" s="5">
        <v>152</v>
      </c>
      <c r="D149" s="5">
        <v>272</v>
      </c>
      <c r="E149" s="5">
        <v>214</v>
      </c>
      <c r="F149" s="5">
        <v>10180</v>
      </c>
      <c r="G149" s="5">
        <v>286</v>
      </c>
      <c r="H149" t="str">
        <f t="shared" si="11"/>
        <v>Valid</v>
      </c>
      <c r="I149" t="str">
        <f t="shared" si="12"/>
        <v>Valid</v>
      </c>
      <c r="J149" s="5">
        <f t="shared" si="13"/>
        <v>9894</v>
      </c>
      <c r="K149" s="5">
        <f t="shared" si="14"/>
        <v>10452</v>
      </c>
      <c r="L149" s="5">
        <f>IF(Table1[[#This Row],[Total_System_Load]]&gt;80%*AVERAGE(Table1[Total_System_Load]),Table1[[#This Row],[Total_System_Load]]-Table1[[#This Row],[Total_Children_Under_Care]],0)</f>
        <v>558</v>
      </c>
      <c r="M149" s="5">
        <f t="shared" si="10"/>
        <v>-72</v>
      </c>
      <c r="N149" s="5">
        <f>M150-Table1[[#This Row],[Net_Daily_Intake]]</f>
        <v>-70</v>
      </c>
      <c r="O149" s="5">
        <f>M150-Table1[[#This Row],[Net_Daily_Intake]]/Table1[[#This Row],[Net_Daily_Intake]]</f>
        <v>-143</v>
      </c>
      <c r="P149" t="str">
        <f>IF(Table1[[#This Row],[Change_in_Net_Daily_Intake]]&gt;0,"Sustained Positive","Negative")</f>
        <v>Negative</v>
      </c>
      <c r="Q149" s="1">
        <f>(Table1[[#This Row],[Total_System_Load]]-Table1[[#This Row],[Total_Children_Under_Care]])/Table1[[#This Row],[Total_Children_Under_Care]]*100</f>
        <v>5.6397816858702248</v>
      </c>
      <c r="R149" s="1">
        <f>(Table1[[#This Row],[Children_discharged _from_HHS_ Care]]/Table1[[#This Row],[Children_transferred_out_of_CBP_custody]])</f>
        <v>1.3364485981308412</v>
      </c>
    </row>
    <row r="150" spans="1:18" x14ac:dyDescent="0.3">
      <c r="A150">
        <v>149</v>
      </c>
      <c r="B150" s="7">
        <v>45168</v>
      </c>
      <c r="C150" s="5">
        <v>239</v>
      </c>
      <c r="D150" s="5">
        <v>367</v>
      </c>
      <c r="E150" s="5">
        <v>224</v>
      </c>
      <c r="F150" s="5">
        <v>10280</v>
      </c>
      <c r="G150" s="5">
        <v>366</v>
      </c>
      <c r="H150" t="str">
        <f t="shared" si="11"/>
        <v>Valid</v>
      </c>
      <c r="I150" t="str">
        <f t="shared" si="12"/>
        <v>Valid</v>
      </c>
      <c r="J150" s="5">
        <f t="shared" si="13"/>
        <v>9914</v>
      </c>
      <c r="K150" s="5">
        <f t="shared" si="14"/>
        <v>10647</v>
      </c>
      <c r="L150" s="5">
        <f>IF(Table1[[#This Row],[Total_System_Load]]&gt;80%*AVERAGE(Table1[Total_System_Load]),Table1[[#This Row],[Total_System_Load]]-Table1[[#This Row],[Total_Children_Under_Care]],0)</f>
        <v>733</v>
      </c>
      <c r="M150" s="5">
        <f t="shared" si="10"/>
        <v>-142</v>
      </c>
      <c r="N150" s="5">
        <f>M151-Table1[[#This Row],[Net_Daily_Intake]]</f>
        <v>-126</v>
      </c>
      <c r="O150" s="5">
        <f>M151-Table1[[#This Row],[Net_Daily_Intake]]/Table1[[#This Row],[Net_Daily_Intake]]</f>
        <v>-269</v>
      </c>
      <c r="P150" t="str">
        <f>IF(Table1[[#This Row],[Change_in_Net_Daily_Intake]]&gt;0,"Sustained Positive","Negative")</f>
        <v>Negative</v>
      </c>
      <c r="Q150" s="1">
        <f>(Table1[[#This Row],[Total_System_Load]]-Table1[[#This Row],[Total_Children_Under_Care]])/Table1[[#This Row],[Total_Children_Under_Care]]*100</f>
        <v>7.3935848295339914</v>
      </c>
      <c r="R150" s="1">
        <f>(Table1[[#This Row],[Children_discharged _from_HHS_ Care]]/Table1[[#This Row],[Children_transferred_out_of_CBP_custody]])</f>
        <v>1.6339285714285714</v>
      </c>
    </row>
    <row r="151" spans="1:18" x14ac:dyDescent="0.3">
      <c r="A151">
        <v>150</v>
      </c>
      <c r="B151" s="7">
        <v>45169</v>
      </c>
      <c r="C151" s="5">
        <v>113</v>
      </c>
      <c r="D151" s="5">
        <v>280</v>
      </c>
      <c r="E151" s="5">
        <v>237</v>
      </c>
      <c r="F151" s="5">
        <v>10140</v>
      </c>
      <c r="G151" s="5">
        <v>505</v>
      </c>
      <c r="H151" t="str">
        <f t="shared" si="11"/>
        <v>Valid</v>
      </c>
      <c r="I151" t="str">
        <f t="shared" si="12"/>
        <v>Valid</v>
      </c>
      <c r="J151" s="5">
        <f t="shared" si="13"/>
        <v>9635</v>
      </c>
      <c r="K151" s="5">
        <f t="shared" si="14"/>
        <v>10420</v>
      </c>
      <c r="L151" s="5">
        <f>IF(Table1[[#This Row],[Total_System_Load]]&gt;80%*AVERAGE(Table1[Total_System_Load]),Table1[[#This Row],[Total_System_Load]]-Table1[[#This Row],[Total_Children_Under_Care]],0)</f>
        <v>785</v>
      </c>
      <c r="M151" s="5">
        <f t="shared" si="10"/>
        <v>-268</v>
      </c>
      <c r="N151" s="5">
        <f>M152-Table1[[#This Row],[Net_Daily_Intake]]</f>
        <v>162</v>
      </c>
      <c r="O151" s="5">
        <f>M152-Table1[[#This Row],[Net_Daily_Intake]]/Table1[[#This Row],[Net_Daily_Intake]]</f>
        <v>-107</v>
      </c>
      <c r="P151" t="str">
        <f>IF(Table1[[#This Row],[Change_in_Net_Daily_Intake]]&gt;0,"Sustained Positive","Negative")</f>
        <v>Sustained Positive</v>
      </c>
      <c r="Q151" s="1">
        <f>(Table1[[#This Row],[Total_System_Load]]-Table1[[#This Row],[Total_Children_Under_Care]])/Table1[[#This Row],[Total_Children_Under_Care]]*100</f>
        <v>8.1473793461338868</v>
      </c>
      <c r="R151" s="1">
        <f>(Table1[[#This Row],[Children_discharged _from_HHS_ Care]]/Table1[[#This Row],[Children_transferred_out_of_CBP_custody]])</f>
        <v>2.130801687763713</v>
      </c>
    </row>
    <row r="152" spans="1:18" x14ac:dyDescent="0.3">
      <c r="A152">
        <v>151</v>
      </c>
      <c r="B152" s="7">
        <v>45173</v>
      </c>
      <c r="C152" s="5">
        <v>196</v>
      </c>
      <c r="D152" s="5">
        <v>306</v>
      </c>
      <c r="E152" s="5">
        <v>187</v>
      </c>
      <c r="F152" s="5">
        <v>9988</v>
      </c>
      <c r="G152" s="5">
        <v>293</v>
      </c>
      <c r="H152" t="str">
        <f t="shared" si="11"/>
        <v>Valid</v>
      </c>
      <c r="I152" t="str">
        <f t="shared" si="12"/>
        <v>Valid</v>
      </c>
      <c r="J152" s="5">
        <f t="shared" si="13"/>
        <v>9695</v>
      </c>
      <c r="K152" s="5">
        <f t="shared" si="14"/>
        <v>10294</v>
      </c>
      <c r="L152" s="5">
        <f>IF(Table1[[#This Row],[Total_System_Load]]&gt;80%*AVERAGE(Table1[Total_System_Load]),Table1[[#This Row],[Total_System_Load]]-Table1[[#This Row],[Total_Children_Under_Care]],0)</f>
        <v>599</v>
      </c>
      <c r="M152" s="5">
        <f t="shared" si="10"/>
        <v>-106</v>
      </c>
      <c r="N152" s="5">
        <f>M153-Table1[[#This Row],[Net_Daily_Intake]]</f>
        <v>85</v>
      </c>
      <c r="O152" s="5">
        <f>M153-Table1[[#This Row],[Net_Daily_Intake]]/Table1[[#This Row],[Net_Daily_Intake]]</f>
        <v>-22</v>
      </c>
      <c r="P152" t="str">
        <f>IF(Table1[[#This Row],[Change_in_Net_Daily_Intake]]&gt;0,"Sustained Positive","Negative")</f>
        <v>Sustained Positive</v>
      </c>
      <c r="Q152" s="1">
        <f>(Table1[[#This Row],[Total_System_Load]]-Table1[[#This Row],[Total_Children_Under_Care]])/Table1[[#This Row],[Total_Children_Under_Care]]*100</f>
        <v>6.1784424961320275</v>
      </c>
      <c r="R152" s="1">
        <f>(Table1[[#This Row],[Children_discharged _from_HHS_ Care]]/Table1[[#This Row],[Children_transferred_out_of_CBP_custody]])</f>
        <v>1.5668449197860963</v>
      </c>
    </row>
    <row r="153" spans="1:18" x14ac:dyDescent="0.3">
      <c r="A153">
        <v>152</v>
      </c>
      <c r="B153" s="7">
        <v>45174</v>
      </c>
      <c r="C153" s="5">
        <v>236</v>
      </c>
      <c r="D153" s="5">
        <v>330</v>
      </c>
      <c r="E153" s="5">
        <v>222</v>
      </c>
      <c r="F153" s="5">
        <v>10142</v>
      </c>
      <c r="G153" s="5">
        <v>243</v>
      </c>
      <c r="H153" t="str">
        <f t="shared" si="11"/>
        <v>Valid</v>
      </c>
      <c r="I153" t="str">
        <f t="shared" si="12"/>
        <v>Valid</v>
      </c>
      <c r="J153" s="5">
        <f t="shared" si="13"/>
        <v>9899</v>
      </c>
      <c r="K153" s="5">
        <f t="shared" si="14"/>
        <v>10472</v>
      </c>
      <c r="L153" s="5">
        <f>IF(Table1[[#This Row],[Total_System_Load]]&gt;80%*AVERAGE(Table1[Total_System_Load]),Table1[[#This Row],[Total_System_Load]]-Table1[[#This Row],[Total_Children_Under_Care]],0)</f>
        <v>573</v>
      </c>
      <c r="M153" s="5">
        <f t="shared" si="10"/>
        <v>-21</v>
      </c>
      <c r="N153" s="5">
        <f>M154-Table1[[#This Row],[Net_Daily_Intake]]</f>
        <v>-28</v>
      </c>
      <c r="O153" s="5">
        <f>M154-Table1[[#This Row],[Net_Daily_Intake]]/Table1[[#This Row],[Net_Daily_Intake]]</f>
        <v>-50</v>
      </c>
      <c r="P153" t="str">
        <f>IF(Table1[[#This Row],[Change_in_Net_Daily_Intake]]&gt;0,"Sustained Positive","Negative")</f>
        <v>Negative</v>
      </c>
      <c r="Q153" s="1">
        <f>(Table1[[#This Row],[Total_System_Load]]-Table1[[#This Row],[Total_Children_Under_Care]])/Table1[[#This Row],[Total_Children_Under_Care]]*100</f>
        <v>5.7884634811597131</v>
      </c>
      <c r="R153" s="1">
        <f>(Table1[[#This Row],[Children_discharged _from_HHS_ Care]]/Table1[[#This Row],[Children_transferred_out_of_CBP_custody]])</f>
        <v>1.0945945945945945</v>
      </c>
    </row>
    <row r="154" spans="1:18" x14ac:dyDescent="0.3">
      <c r="A154">
        <v>153</v>
      </c>
      <c r="B154" s="7">
        <v>45175</v>
      </c>
      <c r="C154" s="5">
        <v>81</v>
      </c>
      <c r="D154" s="5">
        <v>230</v>
      </c>
      <c r="E154" s="5">
        <v>242</v>
      </c>
      <c r="F154" s="5">
        <v>10356</v>
      </c>
      <c r="G154" s="5">
        <v>291</v>
      </c>
      <c r="H154" t="str">
        <f t="shared" si="11"/>
        <v>Invalid</v>
      </c>
      <c r="I154" t="str">
        <f t="shared" si="12"/>
        <v>Valid</v>
      </c>
      <c r="J154" s="5">
        <f t="shared" si="13"/>
        <v>10065</v>
      </c>
      <c r="K154" s="5">
        <f t="shared" si="14"/>
        <v>10586</v>
      </c>
      <c r="L154" s="5">
        <f>IF(Table1[[#This Row],[Total_System_Load]]&gt;80%*AVERAGE(Table1[Total_System_Load]),Table1[[#This Row],[Total_System_Load]]-Table1[[#This Row],[Total_Children_Under_Care]],0)</f>
        <v>521</v>
      </c>
      <c r="M154" s="5">
        <f t="shared" si="10"/>
        <v>-49</v>
      </c>
      <c r="N154" s="5">
        <f>M155-Table1[[#This Row],[Net_Daily_Intake]]</f>
        <v>-189</v>
      </c>
      <c r="O154" s="5">
        <f>M155-Table1[[#This Row],[Net_Daily_Intake]]/Table1[[#This Row],[Net_Daily_Intake]]</f>
        <v>-239</v>
      </c>
      <c r="P154" t="str">
        <f>IF(Table1[[#This Row],[Change_in_Net_Daily_Intake]]&gt;0,"Sustained Positive","Negative")</f>
        <v>Negative</v>
      </c>
      <c r="Q154" s="1">
        <f>(Table1[[#This Row],[Total_System_Load]]-Table1[[#This Row],[Total_Children_Under_Care]])/Table1[[#This Row],[Total_Children_Under_Care]]*100</f>
        <v>5.1763537009438654</v>
      </c>
      <c r="R154" s="1">
        <f>(Table1[[#This Row],[Children_discharged _from_HHS_ Care]]/Table1[[#This Row],[Children_transferred_out_of_CBP_custody]])</f>
        <v>1.2024793388429753</v>
      </c>
    </row>
    <row r="155" spans="1:18" x14ac:dyDescent="0.3">
      <c r="A155">
        <v>154</v>
      </c>
      <c r="B155" s="7">
        <v>45176</v>
      </c>
      <c r="C155" s="5">
        <v>118</v>
      </c>
      <c r="D155" s="5">
        <v>245</v>
      </c>
      <c r="E155" s="5">
        <v>160</v>
      </c>
      <c r="F155" s="5">
        <v>10419</v>
      </c>
      <c r="G155" s="5">
        <v>398</v>
      </c>
      <c r="H155" t="str">
        <f t="shared" si="11"/>
        <v>Valid</v>
      </c>
      <c r="I155" t="str">
        <f t="shared" si="12"/>
        <v>Valid</v>
      </c>
      <c r="J155" s="5">
        <f t="shared" si="13"/>
        <v>10021</v>
      </c>
      <c r="K155" s="5">
        <f t="shared" si="14"/>
        <v>10664</v>
      </c>
      <c r="L155" s="5">
        <f>IF(Table1[[#This Row],[Total_System_Load]]&gt;80%*AVERAGE(Table1[Total_System_Load]),Table1[[#This Row],[Total_System_Load]]-Table1[[#This Row],[Total_Children_Under_Care]],0)</f>
        <v>643</v>
      </c>
      <c r="M155" s="5">
        <f t="shared" si="10"/>
        <v>-238</v>
      </c>
      <c r="N155" s="5">
        <f>M156-Table1[[#This Row],[Net_Daily_Intake]]</f>
        <v>64</v>
      </c>
      <c r="O155" s="5">
        <f>M156-Table1[[#This Row],[Net_Daily_Intake]]/Table1[[#This Row],[Net_Daily_Intake]]</f>
        <v>-175</v>
      </c>
      <c r="P155" t="str">
        <f>IF(Table1[[#This Row],[Change_in_Net_Daily_Intake]]&gt;0,"Sustained Positive","Negative")</f>
        <v>Sustained Positive</v>
      </c>
      <c r="Q155" s="1">
        <f>(Table1[[#This Row],[Total_System_Load]]-Table1[[#This Row],[Total_Children_Under_Care]])/Table1[[#This Row],[Total_Children_Under_Care]]*100</f>
        <v>6.4165252968765589</v>
      </c>
      <c r="R155" s="1">
        <f>(Table1[[#This Row],[Children_discharged _from_HHS_ Care]]/Table1[[#This Row],[Children_transferred_out_of_CBP_custody]])</f>
        <v>2.4874999999999998</v>
      </c>
    </row>
    <row r="156" spans="1:18" x14ac:dyDescent="0.3">
      <c r="A156">
        <v>155</v>
      </c>
      <c r="B156" s="7">
        <v>45179</v>
      </c>
      <c r="C156" s="5">
        <v>218</v>
      </c>
      <c r="D156" s="5">
        <v>283</v>
      </c>
      <c r="E156" s="5">
        <v>208</v>
      </c>
      <c r="F156" s="5">
        <v>10282</v>
      </c>
      <c r="G156" s="5">
        <v>382</v>
      </c>
      <c r="H156" t="str">
        <f t="shared" si="11"/>
        <v>Valid</v>
      </c>
      <c r="I156" t="str">
        <f t="shared" si="12"/>
        <v>Valid</v>
      </c>
      <c r="J156" s="5">
        <f t="shared" si="13"/>
        <v>9900</v>
      </c>
      <c r="K156" s="5">
        <f t="shared" si="14"/>
        <v>10565</v>
      </c>
      <c r="L156" s="5">
        <f>IF(Table1[[#This Row],[Total_System_Load]]&gt;80%*AVERAGE(Table1[Total_System_Load]),Table1[[#This Row],[Total_System_Load]]-Table1[[#This Row],[Total_Children_Under_Care]],0)</f>
        <v>665</v>
      </c>
      <c r="M156" s="5">
        <f t="shared" si="10"/>
        <v>-174</v>
      </c>
      <c r="N156" s="5">
        <f>M157-Table1[[#This Row],[Net_Daily_Intake]]</f>
        <v>80</v>
      </c>
      <c r="O156" s="5">
        <f>M157-Table1[[#This Row],[Net_Daily_Intake]]/Table1[[#This Row],[Net_Daily_Intake]]</f>
        <v>-95</v>
      </c>
      <c r="P156" t="str">
        <f>IF(Table1[[#This Row],[Change_in_Net_Daily_Intake]]&gt;0,"Sustained Positive","Negative")</f>
        <v>Sustained Positive</v>
      </c>
      <c r="Q156" s="1">
        <f>(Table1[[#This Row],[Total_System_Load]]-Table1[[#This Row],[Total_Children_Under_Care]])/Table1[[#This Row],[Total_Children_Under_Care]]*100</f>
        <v>6.7171717171717171</v>
      </c>
      <c r="R156" s="1">
        <f>(Table1[[#This Row],[Children_discharged _from_HHS_ Care]]/Table1[[#This Row],[Children_transferred_out_of_CBP_custody]])</f>
        <v>1.8365384615384615</v>
      </c>
    </row>
    <row r="157" spans="1:18" x14ac:dyDescent="0.3">
      <c r="A157">
        <v>156</v>
      </c>
      <c r="B157" s="7">
        <v>45180</v>
      </c>
      <c r="C157" s="5">
        <v>132</v>
      </c>
      <c r="D157" s="5">
        <v>243</v>
      </c>
      <c r="E157" s="5">
        <v>183</v>
      </c>
      <c r="F157" s="5">
        <v>10492</v>
      </c>
      <c r="G157" s="5">
        <v>277</v>
      </c>
      <c r="H157" t="str">
        <f t="shared" si="11"/>
        <v>Valid</v>
      </c>
      <c r="I157" t="str">
        <f t="shared" si="12"/>
        <v>Valid</v>
      </c>
      <c r="J157" s="5">
        <f t="shared" si="13"/>
        <v>10215</v>
      </c>
      <c r="K157" s="5">
        <f t="shared" si="14"/>
        <v>10735</v>
      </c>
      <c r="L157" s="5">
        <f>IF(Table1[[#This Row],[Total_System_Load]]&gt;80%*AVERAGE(Table1[Total_System_Load]),Table1[[#This Row],[Total_System_Load]]-Table1[[#This Row],[Total_Children_Under_Care]],0)</f>
        <v>520</v>
      </c>
      <c r="M157" s="5">
        <f t="shared" si="10"/>
        <v>-94</v>
      </c>
      <c r="N157" s="5">
        <f>M158-Table1[[#This Row],[Net_Daily_Intake]]</f>
        <v>-70</v>
      </c>
      <c r="O157" s="5">
        <f>M158-Table1[[#This Row],[Net_Daily_Intake]]/Table1[[#This Row],[Net_Daily_Intake]]</f>
        <v>-165</v>
      </c>
      <c r="P157" t="str">
        <f>IF(Table1[[#This Row],[Change_in_Net_Daily_Intake]]&gt;0,"Sustained Positive","Negative")</f>
        <v>Negative</v>
      </c>
      <c r="Q157" s="1">
        <f>(Table1[[#This Row],[Total_System_Load]]-Table1[[#This Row],[Total_Children_Under_Care]])/Table1[[#This Row],[Total_Children_Under_Care]]*100</f>
        <v>5.0905531081742534</v>
      </c>
      <c r="R157" s="1">
        <f>(Table1[[#This Row],[Children_discharged _from_HHS_ Care]]/Table1[[#This Row],[Children_transferred_out_of_CBP_custody]])</f>
        <v>1.5136612021857923</v>
      </c>
    </row>
    <row r="158" spans="1:18" x14ac:dyDescent="0.3">
      <c r="A158">
        <v>157</v>
      </c>
      <c r="B158" s="7">
        <v>45181</v>
      </c>
      <c r="C158" s="5">
        <v>224</v>
      </c>
      <c r="D158" s="5">
        <v>315</v>
      </c>
      <c r="E158" s="5">
        <v>152</v>
      </c>
      <c r="F158" s="5">
        <v>10649</v>
      </c>
      <c r="G158" s="5">
        <v>316</v>
      </c>
      <c r="H158" t="str">
        <f t="shared" si="11"/>
        <v>Valid</v>
      </c>
      <c r="I158" t="str">
        <f t="shared" si="12"/>
        <v>Valid</v>
      </c>
      <c r="J158" s="5">
        <f t="shared" si="13"/>
        <v>10333</v>
      </c>
      <c r="K158" s="5">
        <f t="shared" si="14"/>
        <v>10964</v>
      </c>
      <c r="L158" s="5">
        <f>IF(Table1[[#This Row],[Total_System_Load]]&gt;80%*AVERAGE(Table1[Total_System_Load]),Table1[[#This Row],[Total_System_Load]]-Table1[[#This Row],[Total_Children_Under_Care]],0)</f>
        <v>631</v>
      </c>
      <c r="M158" s="5">
        <f t="shared" si="10"/>
        <v>-164</v>
      </c>
      <c r="N158" s="5">
        <f>M159-Table1[[#This Row],[Net_Daily_Intake]]</f>
        <v>34</v>
      </c>
      <c r="O158" s="5">
        <f>M159-Table1[[#This Row],[Net_Daily_Intake]]/Table1[[#This Row],[Net_Daily_Intake]]</f>
        <v>-131</v>
      </c>
      <c r="P158" t="str">
        <f>IF(Table1[[#This Row],[Change_in_Net_Daily_Intake]]&gt;0,"Sustained Positive","Negative")</f>
        <v>Sustained Positive</v>
      </c>
      <c r="Q158" s="1">
        <f>(Table1[[#This Row],[Total_System_Load]]-Table1[[#This Row],[Total_Children_Under_Care]])/Table1[[#This Row],[Total_Children_Under_Care]]*100</f>
        <v>6.1066486015677928</v>
      </c>
      <c r="R158" s="1">
        <f>(Table1[[#This Row],[Children_discharged _from_HHS_ Care]]/Table1[[#This Row],[Children_transferred_out_of_CBP_custody]])</f>
        <v>2.0789473684210527</v>
      </c>
    </row>
    <row r="159" spans="1:18" x14ac:dyDescent="0.3">
      <c r="A159">
        <v>158</v>
      </c>
      <c r="B159" s="7">
        <v>45182</v>
      </c>
      <c r="C159" s="5">
        <v>167</v>
      </c>
      <c r="D159" s="5">
        <v>326</v>
      </c>
      <c r="E159" s="5">
        <v>213</v>
      </c>
      <c r="F159" s="5">
        <v>10678</v>
      </c>
      <c r="G159" s="5">
        <v>343</v>
      </c>
      <c r="H159" t="str">
        <f t="shared" si="11"/>
        <v>Valid</v>
      </c>
      <c r="I159" t="str">
        <f t="shared" si="12"/>
        <v>Valid</v>
      </c>
      <c r="J159" s="5">
        <f t="shared" si="13"/>
        <v>10335</v>
      </c>
      <c r="K159" s="5">
        <f t="shared" si="14"/>
        <v>11004</v>
      </c>
      <c r="L159" s="5">
        <f>IF(Table1[[#This Row],[Total_System_Load]]&gt;80%*AVERAGE(Table1[Total_System_Load]),Table1[[#This Row],[Total_System_Load]]-Table1[[#This Row],[Total_Children_Under_Care]],0)</f>
        <v>669</v>
      </c>
      <c r="M159" s="5">
        <f t="shared" si="10"/>
        <v>-130</v>
      </c>
      <c r="N159" s="5">
        <f>M160-Table1[[#This Row],[Net_Daily_Intake]]</f>
        <v>-52</v>
      </c>
      <c r="O159" s="5">
        <f>M160-Table1[[#This Row],[Net_Daily_Intake]]/Table1[[#This Row],[Net_Daily_Intake]]</f>
        <v>-183</v>
      </c>
      <c r="P159" t="str">
        <f>IF(Table1[[#This Row],[Change_in_Net_Daily_Intake]]&gt;0,"Sustained Positive","Negative")</f>
        <v>Negative</v>
      </c>
      <c r="Q159" s="1">
        <f>(Table1[[#This Row],[Total_System_Load]]-Table1[[#This Row],[Total_Children_Under_Care]])/Table1[[#This Row],[Total_Children_Under_Care]]*100</f>
        <v>6.4731494920174164</v>
      </c>
      <c r="R159" s="1">
        <f>(Table1[[#This Row],[Children_discharged _from_HHS_ Care]]/Table1[[#This Row],[Children_transferred_out_of_CBP_custody]])</f>
        <v>1.6103286384976525</v>
      </c>
    </row>
    <row r="160" spans="1:18" x14ac:dyDescent="0.3">
      <c r="A160">
        <v>159</v>
      </c>
      <c r="B160" s="7">
        <v>45183</v>
      </c>
      <c r="C160" s="5">
        <v>209</v>
      </c>
      <c r="D160" s="5">
        <v>353</v>
      </c>
      <c r="E160" s="5">
        <v>232</v>
      </c>
      <c r="F160" s="5">
        <v>10837</v>
      </c>
      <c r="G160" s="5">
        <v>414</v>
      </c>
      <c r="H160" t="str">
        <f t="shared" si="11"/>
        <v>Valid</v>
      </c>
      <c r="I160" t="str">
        <f t="shared" si="12"/>
        <v>Valid</v>
      </c>
      <c r="J160" s="5">
        <f t="shared" si="13"/>
        <v>10423</v>
      </c>
      <c r="K160" s="5">
        <f t="shared" si="14"/>
        <v>11190</v>
      </c>
      <c r="L160" s="5">
        <f>IF(Table1[[#This Row],[Total_System_Load]]&gt;80%*AVERAGE(Table1[Total_System_Load]),Table1[[#This Row],[Total_System_Load]]-Table1[[#This Row],[Total_Children_Under_Care]],0)</f>
        <v>767</v>
      </c>
      <c r="M160" s="5">
        <f t="shared" si="10"/>
        <v>-182</v>
      </c>
      <c r="N160" s="5">
        <f>M161-Table1[[#This Row],[Net_Daily_Intake]]</f>
        <v>41</v>
      </c>
      <c r="O160" s="5">
        <f>M161-Table1[[#This Row],[Net_Daily_Intake]]/Table1[[#This Row],[Net_Daily_Intake]]</f>
        <v>-142</v>
      </c>
      <c r="P160" t="str">
        <f>IF(Table1[[#This Row],[Change_in_Net_Daily_Intake]]&gt;0,"Sustained Positive","Negative")</f>
        <v>Sustained Positive</v>
      </c>
      <c r="Q160" s="1">
        <f>(Table1[[#This Row],[Total_System_Load]]-Table1[[#This Row],[Total_Children_Under_Care]])/Table1[[#This Row],[Total_Children_Under_Care]]*100</f>
        <v>7.3587258946560485</v>
      </c>
      <c r="R160" s="1">
        <f>(Table1[[#This Row],[Children_discharged _from_HHS_ Care]]/Table1[[#This Row],[Children_transferred_out_of_CBP_custody]])</f>
        <v>1.7844827586206897</v>
      </c>
    </row>
    <row r="161" spans="1:18" x14ac:dyDescent="0.3">
      <c r="A161">
        <v>160</v>
      </c>
      <c r="B161" s="7">
        <v>45186</v>
      </c>
      <c r="C161" s="5">
        <v>153</v>
      </c>
      <c r="D161" s="5">
        <v>253</v>
      </c>
      <c r="E161" s="5">
        <v>286</v>
      </c>
      <c r="F161" s="5">
        <v>10799</v>
      </c>
      <c r="G161" s="5">
        <v>427</v>
      </c>
      <c r="H161" t="str">
        <f t="shared" si="11"/>
        <v>Invalid</v>
      </c>
      <c r="I161" t="str">
        <f t="shared" si="12"/>
        <v>Valid</v>
      </c>
      <c r="J161" s="5">
        <f t="shared" si="13"/>
        <v>10372</v>
      </c>
      <c r="K161" s="5">
        <f t="shared" si="14"/>
        <v>11052</v>
      </c>
      <c r="L161" s="5">
        <f>IF(Table1[[#This Row],[Total_System_Load]]&gt;80%*AVERAGE(Table1[Total_System_Load]),Table1[[#This Row],[Total_System_Load]]-Table1[[#This Row],[Total_Children_Under_Care]],0)</f>
        <v>680</v>
      </c>
      <c r="M161" s="5">
        <f t="shared" si="10"/>
        <v>-141</v>
      </c>
      <c r="N161" s="5">
        <f>M162-Table1[[#This Row],[Net_Daily_Intake]]</f>
        <v>47</v>
      </c>
      <c r="O161" s="5">
        <f>M162-Table1[[#This Row],[Net_Daily_Intake]]/Table1[[#This Row],[Net_Daily_Intake]]</f>
        <v>-95</v>
      </c>
      <c r="P161" t="str">
        <f>IF(Table1[[#This Row],[Change_in_Net_Daily_Intake]]&gt;0,"Sustained Positive","Negative")</f>
        <v>Sustained Positive</v>
      </c>
      <c r="Q161" s="1">
        <f>(Table1[[#This Row],[Total_System_Load]]-Table1[[#This Row],[Total_Children_Under_Care]])/Table1[[#This Row],[Total_Children_Under_Care]]*100</f>
        <v>6.5561126108754335</v>
      </c>
      <c r="R161" s="1">
        <f>(Table1[[#This Row],[Children_discharged _from_HHS_ Care]]/Table1[[#This Row],[Children_transferred_out_of_CBP_custody]])</f>
        <v>1.4930069930069929</v>
      </c>
    </row>
    <row r="162" spans="1:18" x14ac:dyDescent="0.3">
      <c r="A162">
        <v>161</v>
      </c>
      <c r="B162" s="7">
        <v>45187</v>
      </c>
      <c r="C162" s="5">
        <v>180</v>
      </c>
      <c r="D162" s="5">
        <v>337</v>
      </c>
      <c r="E162" s="5">
        <v>219</v>
      </c>
      <c r="F162" s="5">
        <v>10892</v>
      </c>
      <c r="G162" s="5">
        <v>313</v>
      </c>
      <c r="H162" t="str">
        <f t="shared" si="11"/>
        <v>Valid</v>
      </c>
      <c r="I162" t="str">
        <f t="shared" si="12"/>
        <v>Valid</v>
      </c>
      <c r="J162" s="5">
        <f t="shared" si="13"/>
        <v>10579</v>
      </c>
      <c r="K162" s="5">
        <f t="shared" si="14"/>
        <v>11229</v>
      </c>
      <c r="L162" s="5">
        <f>IF(Table1[[#This Row],[Total_System_Load]]&gt;80%*AVERAGE(Table1[Total_System_Load]),Table1[[#This Row],[Total_System_Load]]-Table1[[#This Row],[Total_Children_Under_Care]],0)</f>
        <v>650</v>
      </c>
      <c r="M162" s="5">
        <f t="shared" si="10"/>
        <v>-94</v>
      </c>
      <c r="N162" s="5">
        <f>M163-Table1[[#This Row],[Net_Daily_Intake]]</f>
        <v>23</v>
      </c>
      <c r="O162" s="5">
        <f>M163-Table1[[#This Row],[Net_Daily_Intake]]/Table1[[#This Row],[Net_Daily_Intake]]</f>
        <v>-72</v>
      </c>
      <c r="P162" t="str">
        <f>IF(Table1[[#This Row],[Change_in_Net_Daily_Intake]]&gt;0,"Sustained Positive","Negative")</f>
        <v>Sustained Positive</v>
      </c>
      <c r="Q162" s="1">
        <f>(Table1[[#This Row],[Total_System_Load]]-Table1[[#This Row],[Total_Children_Under_Care]])/Table1[[#This Row],[Total_Children_Under_Care]]*100</f>
        <v>6.1442480385669729</v>
      </c>
      <c r="R162" s="1">
        <f>(Table1[[#This Row],[Children_discharged _from_HHS_ Care]]/Table1[[#This Row],[Children_transferred_out_of_CBP_custody]])</f>
        <v>1.4292237442922375</v>
      </c>
    </row>
    <row r="163" spans="1:18" x14ac:dyDescent="0.3">
      <c r="A163">
        <v>162</v>
      </c>
      <c r="B163" s="7">
        <v>45188</v>
      </c>
      <c r="C163" s="5">
        <v>133</v>
      </c>
      <c r="D163" s="5">
        <v>287</v>
      </c>
      <c r="E163" s="5">
        <v>189</v>
      </c>
      <c r="F163" s="5">
        <v>11095</v>
      </c>
      <c r="G163" s="5">
        <v>260</v>
      </c>
      <c r="H163" t="str">
        <f t="shared" si="11"/>
        <v>Valid</v>
      </c>
      <c r="I163" t="str">
        <f t="shared" si="12"/>
        <v>Valid</v>
      </c>
      <c r="J163" s="5">
        <f t="shared" si="13"/>
        <v>10835</v>
      </c>
      <c r="K163" s="5">
        <f t="shared" si="14"/>
        <v>11382</v>
      </c>
      <c r="L163" s="5">
        <f>IF(Table1[[#This Row],[Total_System_Load]]&gt;80%*AVERAGE(Table1[Total_System_Load]),Table1[[#This Row],[Total_System_Load]]-Table1[[#This Row],[Total_Children_Under_Care]],0)</f>
        <v>547</v>
      </c>
      <c r="M163" s="5">
        <f t="shared" si="10"/>
        <v>-71</v>
      </c>
      <c r="N163" s="5">
        <f>M164-Table1[[#This Row],[Net_Daily_Intake]]</f>
        <v>-46</v>
      </c>
      <c r="O163" s="5">
        <f>M164-Table1[[#This Row],[Net_Daily_Intake]]/Table1[[#This Row],[Net_Daily_Intake]]</f>
        <v>-118</v>
      </c>
      <c r="P163" t="str">
        <f>IF(Table1[[#This Row],[Change_in_Net_Daily_Intake]]&gt;0,"Sustained Positive","Negative")</f>
        <v>Negative</v>
      </c>
      <c r="Q163" s="1">
        <f>(Table1[[#This Row],[Total_System_Load]]-Table1[[#This Row],[Total_Children_Under_Care]])/Table1[[#This Row],[Total_Children_Under_Care]]*100</f>
        <v>5.0484540839870791</v>
      </c>
      <c r="R163" s="1">
        <f>(Table1[[#This Row],[Children_discharged _from_HHS_ Care]]/Table1[[#This Row],[Children_transferred_out_of_CBP_custody]])</f>
        <v>1.3756613756613756</v>
      </c>
    </row>
    <row r="164" spans="1:18" x14ac:dyDescent="0.3">
      <c r="A164">
        <v>163</v>
      </c>
      <c r="B164" s="7">
        <v>45189</v>
      </c>
      <c r="C164" s="5">
        <v>187</v>
      </c>
      <c r="D164" s="5">
        <v>310</v>
      </c>
      <c r="E164" s="5">
        <v>247</v>
      </c>
      <c r="F164" s="5">
        <v>11064</v>
      </c>
      <c r="G164" s="5">
        <v>364</v>
      </c>
      <c r="H164" t="str">
        <f t="shared" si="11"/>
        <v>Valid</v>
      </c>
      <c r="I164" t="str">
        <f t="shared" si="12"/>
        <v>Valid</v>
      </c>
      <c r="J164" s="5">
        <f t="shared" si="13"/>
        <v>10700</v>
      </c>
      <c r="K164" s="5">
        <f t="shared" si="14"/>
        <v>11374</v>
      </c>
      <c r="L164" s="5">
        <f>IF(Table1[[#This Row],[Total_System_Load]]&gt;80%*AVERAGE(Table1[Total_System_Load]),Table1[[#This Row],[Total_System_Load]]-Table1[[#This Row],[Total_Children_Under_Care]],0)</f>
        <v>674</v>
      </c>
      <c r="M164" s="5">
        <f t="shared" si="10"/>
        <v>-117</v>
      </c>
      <c r="N164" s="5">
        <f>M165-Table1[[#This Row],[Net_Daily_Intake]]</f>
        <v>-101</v>
      </c>
      <c r="O164" s="5">
        <f>M165-Table1[[#This Row],[Net_Daily_Intake]]/Table1[[#This Row],[Net_Daily_Intake]]</f>
        <v>-219</v>
      </c>
      <c r="P164" t="str">
        <f>IF(Table1[[#This Row],[Change_in_Net_Daily_Intake]]&gt;0,"Sustained Positive","Negative")</f>
        <v>Negative</v>
      </c>
      <c r="Q164" s="1">
        <f>(Table1[[#This Row],[Total_System_Load]]-Table1[[#This Row],[Total_Children_Under_Care]])/Table1[[#This Row],[Total_Children_Under_Care]]*100</f>
        <v>6.2990654205607486</v>
      </c>
      <c r="R164" s="1">
        <f>(Table1[[#This Row],[Children_discharged _from_HHS_ Care]]/Table1[[#This Row],[Children_transferred_out_of_CBP_custody]])</f>
        <v>1.4736842105263157</v>
      </c>
    </row>
    <row r="165" spans="1:18" x14ac:dyDescent="0.3">
      <c r="A165">
        <v>164</v>
      </c>
      <c r="B165" s="7">
        <v>45190</v>
      </c>
      <c r="C165" s="5">
        <v>168</v>
      </c>
      <c r="D165" s="5">
        <v>285</v>
      </c>
      <c r="E165" s="5">
        <v>210</v>
      </c>
      <c r="F165" s="5">
        <v>11067</v>
      </c>
      <c r="G165" s="5">
        <v>428</v>
      </c>
      <c r="H165" t="str">
        <f t="shared" si="11"/>
        <v>Valid</v>
      </c>
      <c r="I165" t="str">
        <f t="shared" si="12"/>
        <v>Valid</v>
      </c>
      <c r="J165" s="5">
        <f t="shared" si="13"/>
        <v>10639</v>
      </c>
      <c r="K165" s="5">
        <f t="shared" si="14"/>
        <v>11352</v>
      </c>
      <c r="L165" s="5">
        <f>IF(Table1[[#This Row],[Total_System_Load]]&gt;80%*AVERAGE(Table1[Total_System_Load]),Table1[[#This Row],[Total_System_Load]]-Table1[[#This Row],[Total_Children_Under_Care]],0)</f>
        <v>713</v>
      </c>
      <c r="M165" s="5">
        <f t="shared" si="10"/>
        <v>-218</v>
      </c>
      <c r="N165" s="5">
        <f>M166-Table1[[#This Row],[Net_Daily_Intake]]</f>
        <v>19</v>
      </c>
      <c r="O165" s="5">
        <f>M166-Table1[[#This Row],[Net_Daily_Intake]]/Table1[[#This Row],[Net_Daily_Intake]]</f>
        <v>-200</v>
      </c>
      <c r="P165" t="str">
        <f>IF(Table1[[#This Row],[Change_in_Net_Daily_Intake]]&gt;0,"Sustained Positive","Negative")</f>
        <v>Sustained Positive</v>
      </c>
      <c r="Q165" s="1">
        <f>(Table1[[#This Row],[Total_System_Load]]-Table1[[#This Row],[Total_Children_Under_Care]])/Table1[[#This Row],[Total_Children_Under_Care]]*100</f>
        <v>6.7017576839928568</v>
      </c>
      <c r="R165" s="1">
        <f>(Table1[[#This Row],[Children_discharged _from_HHS_ Care]]/Table1[[#This Row],[Children_transferred_out_of_CBP_custody]])</f>
        <v>2.038095238095238</v>
      </c>
    </row>
    <row r="166" spans="1:18" x14ac:dyDescent="0.3">
      <c r="A166">
        <v>165</v>
      </c>
      <c r="B166" s="7">
        <v>45193</v>
      </c>
      <c r="C166" s="5">
        <v>269</v>
      </c>
      <c r="D166" s="5">
        <v>412</v>
      </c>
      <c r="E166" s="5">
        <v>204</v>
      </c>
      <c r="F166" s="5">
        <v>10744</v>
      </c>
      <c r="G166" s="5">
        <v>403</v>
      </c>
      <c r="H166" t="str">
        <f t="shared" si="11"/>
        <v>Valid</v>
      </c>
      <c r="I166" t="str">
        <f t="shared" si="12"/>
        <v>Valid</v>
      </c>
      <c r="J166" s="5">
        <f t="shared" si="13"/>
        <v>10341</v>
      </c>
      <c r="K166" s="5">
        <f t="shared" si="14"/>
        <v>11156</v>
      </c>
      <c r="L166" s="5">
        <f>IF(Table1[[#This Row],[Total_System_Load]]&gt;80%*AVERAGE(Table1[Total_System_Load]),Table1[[#This Row],[Total_System_Load]]-Table1[[#This Row],[Total_Children_Under_Care]],0)</f>
        <v>815</v>
      </c>
      <c r="M166" s="5">
        <f t="shared" si="10"/>
        <v>-199</v>
      </c>
      <c r="N166" s="5">
        <f>M167-Table1[[#This Row],[Net_Daily_Intake]]</f>
        <v>151</v>
      </c>
      <c r="O166" s="5">
        <f>M167-Table1[[#This Row],[Net_Daily_Intake]]/Table1[[#This Row],[Net_Daily_Intake]]</f>
        <v>-49</v>
      </c>
      <c r="P166" t="str">
        <f>IF(Table1[[#This Row],[Change_in_Net_Daily_Intake]]&gt;0,"Sustained Positive","Negative")</f>
        <v>Sustained Positive</v>
      </c>
      <c r="Q166" s="1">
        <f>(Table1[[#This Row],[Total_System_Load]]-Table1[[#This Row],[Total_Children_Under_Care]])/Table1[[#This Row],[Total_Children_Under_Care]]*100</f>
        <v>7.8812493956097089</v>
      </c>
      <c r="R166" s="1">
        <f>(Table1[[#This Row],[Children_discharged _from_HHS_ Care]]/Table1[[#This Row],[Children_transferred_out_of_CBP_custody]])</f>
        <v>1.9754901960784315</v>
      </c>
    </row>
    <row r="167" spans="1:18" x14ac:dyDescent="0.3">
      <c r="A167">
        <v>166</v>
      </c>
      <c r="B167" s="7">
        <v>45194</v>
      </c>
      <c r="C167" s="5">
        <v>100</v>
      </c>
      <c r="D167" s="5">
        <v>255</v>
      </c>
      <c r="E167" s="5">
        <v>236</v>
      </c>
      <c r="F167" s="5">
        <v>10842</v>
      </c>
      <c r="G167" s="5">
        <v>284</v>
      </c>
      <c r="H167" t="str">
        <f t="shared" si="11"/>
        <v>Valid</v>
      </c>
      <c r="I167" t="str">
        <f t="shared" si="12"/>
        <v>Valid</v>
      </c>
      <c r="J167" s="5">
        <f t="shared" si="13"/>
        <v>10558</v>
      </c>
      <c r="K167" s="5">
        <f t="shared" si="14"/>
        <v>11097</v>
      </c>
      <c r="L167" s="5">
        <f>IF(Table1[[#This Row],[Total_System_Load]]&gt;80%*AVERAGE(Table1[Total_System_Load]),Table1[[#This Row],[Total_System_Load]]-Table1[[#This Row],[Total_Children_Under_Care]],0)</f>
        <v>539</v>
      </c>
      <c r="M167" s="5">
        <f t="shared" si="10"/>
        <v>-48</v>
      </c>
      <c r="N167" s="5">
        <f>M168-Table1[[#This Row],[Net_Daily_Intake]]</f>
        <v>-107</v>
      </c>
      <c r="O167" s="5">
        <f>M168-Table1[[#This Row],[Net_Daily_Intake]]/Table1[[#This Row],[Net_Daily_Intake]]</f>
        <v>-156</v>
      </c>
      <c r="P167" t="str">
        <f>IF(Table1[[#This Row],[Change_in_Net_Daily_Intake]]&gt;0,"Sustained Positive","Negative")</f>
        <v>Negative</v>
      </c>
      <c r="Q167" s="1">
        <f>(Table1[[#This Row],[Total_System_Load]]-Table1[[#This Row],[Total_Children_Under_Care]])/Table1[[#This Row],[Total_Children_Under_Care]]*100</f>
        <v>5.1051335480204587</v>
      </c>
      <c r="R167" s="1">
        <f>(Table1[[#This Row],[Children_discharged _from_HHS_ Care]]/Table1[[#This Row],[Children_transferred_out_of_CBP_custody]])</f>
        <v>1.2033898305084745</v>
      </c>
    </row>
    <row r="168" spans="1:18" x14ac:dyDescent="0.3">
      <c r="A168">
        <v>167</v>
      </c>
      <c r="B168" s="7">
        <v>45195</v>
      </c>
      <c r="C168" s="5">
        <v>205</v>
      </c>
      <c r="D168" s="5">
        <v>294</v>
      </c>
      <c r="E168" s="5">
        <v>177</v>
      </c>
      <c r="F168" s="5">
        <v>10978</v>
      </c>
      <c r="G168" s="5">
        <v>332</v>
      </c>
      <c r="H168" t="str">
        <f t="shared" si="11"/>
        <v>Valid</v>
      </c>
      <c r="I168" t="str">
        <f t="shared" si="12"/>
        <v>Valid</v>
      </c>
      <c r="J168" s="5">
        <f t="shared" si="13"/>
        <v>10646</v>
      </c>
      <c r="K168" s="5">
        <f t="shared" si="14"/>
        <v>11272</v>
      </c>
      <c r="L168" s="5">
        <f>IF(Table1[[#This Row],[Total_System_Load]]&gt;80%*AVERAGE(Table1[Total_System_Load]),Table1[[#This Row],[Total_System_Load]]-Table1[[#This Row],[Total_Children_Under_Care]],0)</f>
        <v>626</v>
      </c>
      <c r="M168" s="5">
        <f t="shared" si="10"/>
        <v>-155</v>
      </c>
      <c r="N168" s="5">
        <f>M169-Table1[[#This Row],[Net_Daily_Intake]]</f>
        <v>35</v>
      </c>
      <c r="O168" s="5">
        <f>M169-Table1[[#This Row],[Net_Daily_Intake]]/Table1[[#This Row],[Net_Daily_Intake]]</f>
        <v>-121</v>
      </c>
      <c r="P168" t="str">
        <f>IF(Table1[[#This Row],[Change_in_Net_Daily_Intake]]&gt;0,"Sustained Positive","Negative")</f>
        <v>Sustained Positive</v>
      </c>
      <c r="Q168" s="1">
        <f>(Table1[[#This Row],[Total_System_Load]]-Table1[[#This Row],[Total_Children_Under_Care]])/Table1[[#This Row],[Total_Children_Under_Care]]*100</f>
        <v>5.8801427766297198</v>
      </c>
      <c r="R168" s="1">
        <f>(Table1[[#This Row],[Children_discharged _from_HHS_ Care]]/Table1[[#This Row],[Children_transferred_out_of_CBP_custody]])</f>
        <v>1.8757062146892656</v>
      </c>
    </row>
    <row r="169" spans="1:18" x14ac:dyDescent="0.3">
      <c r="A169">
        <v>168</v>
      </c>
      <c r="B169" s="7">
        <v>45196</v>
      </c>
      <c r="C169" s="5">
        <v>161</v>
      </c>
      <c r="D169" s="5">
        <v>304</v>
      </c>
      <c r="E169" s="5">
        <v>211</v>
      </c>
      <c r="F169" s="5">
        <v>11017</v>
      </c>
      <c r="G169" s="5">
        <v>331</v>
      </c>
      <c r="H169" t="str">
        <f t="shared" si="11"/>
        <v>Valid</v>
      </c>
      <c r="I169" t="str">
        <f t="shared" si="12"/>
        <v>Valid</v>
      </c>
      <c r="J169" s="5">
        <f t="shared" si="13"/>
        <v>10686</v>
      </c>
      <c r="K169" s="5">
        <f t="shared" si="14"/>
        <v>11321</v>
      </c>
      <c r="L169" s="5">
        <f>IF(Table1[[#This Row],[Total_System_Load]]&gt;80%*AVERAGE(Table1[Total_System_Load]),Table1[[#This Row],[Total_System_Load]]-Table1[[#This Row],[Total_Children_Under_Care]],0)</f>
        <v>635</v>
      </c>
      <c r="M169" s="5">
        <f t="shared" si="10"/>
        <v>-120</v>
      </c>
      <c r="N169" s="5">
        <f>M170-Table1[[#This Row],[Net_Daily_Intake]]</f>
        <v>-134</v>
      </c>
      <c r="O169" s="5">
        <f>M170-Table1[[#This Row],[Net_Daily_Intake]]/Table1[[#This Row],[Net_Daily_Intake]]</f>
        <v>-255</v>
      </c>
      <c r="P169" t="str">
        <f>IF(Table1[[#This Row],[Change_in_Net_Daily_Intake]]&gt;0,"Sustained Positive","Negative")</f>
        <v>Negative</v>
      </c>
      <c r="Q169" s="1">
        <f>(Table1[[#This Row],[Total_System_Load]]-Table1[[#This Row],[Total_Children_Under_Care]])/Table1[[#This Row],[Total_Children_Under_Care]]*100</f>
        <v>5.9423544825004679</v>
      </c>
      <c r="R169" s="1">
        <f>(Table1[[#This Row],[Children_discharged _from_HHS_ Care]]/Table1[[#This Row],[Children_transferred_out_of_CBP_custody]])</f>
        <v>1.5687203791469195</v>
      </c>
    </row>
    <row r="170" spans="1:18" x14ac:dyDescent="0.3">
      <c r="A170">
        <v>169</v>
      </c>
      <c r="B170" s="7">
        <v>45197</v>
      </c>
      <c r="C170" s="5">
        <v>57</v>
      </c>
      <c r="D170" s="5">
        <v>162</v>
      </c>
      <c r="E170" s="5">
        <v>193</v>
      </c>
      <c r="F170" s="5">
        <v>10984</v>
      </c>
      <c r="G170" s="5">
        <v>447</v>
      </c>
      <c r="H170" t="str">
        <f t="shared" si="11"/>
        <v>Invalid</v>
      </c>
      <c r="I170" t="str">
        <f t="shared" si="12"/>
        <v>Valid</v>
      </c>
      <c r="J170" s="5">
        <f t="shared" si="13"/>
        <v>10537</v>
      </c>
      <c r="K170" s="5">
        <f t="shared" si="14"/>
        <v>11146</v>
      </c>
      <c r="L170" s="5">
        <f>IF(Table1[[#This Row],[Total_System_Load]]&gt;80%*AVERAGE(Table1[Total_System_Load]),Table1[[#This Row],[Total_System_Load]]-Table1[[#This Row],[Total_Children_Under_Care]],0)</f>
        <v>609</v>
      </c>
      <c r="M170" s="5">
        <f t="shared" si="10"/>
        <v>-254</v>
      </c>
      <c r="N170" s="5">
        <f>M171-Table1[[#This Row],[Net_Daily_Intake]]</f>
        <v>-87</v>
      </c>
      <c r="O170" s="5">
        <f>M171-Table1[[#This Row],[Net_Daily_Intake]]/Table1[[#This Row],[Net_Daily_Intake]]</f>
        <v>-342</v>
      </c>
      <c r="P170" t="str">
        <f>IF(Table1[[#This Row],[Change_in_Net_Daily_Intake]]&gt;0,"Sustained Positive","Negative")</f>
        <v>Negative</v>
      </c>
      <c r="Q170" s="1">
        <f>(Table1[[#This Row],[Total_System_Load]]-Table1[[#This Row],[Total_Children_Under_Care]])/Table1[[#This Row],[Total_Children_Under_Care]]*100</f>
        <v>5.779633671823099</v>
      </c>
      <c r="R170" s="1">
        <f>(Table1[[#This Row],[Children_discharged _from_HHS_ Care]]/Table1[[#This Row],[Children_transferred_out_of_CBP_custody]])</f>
        <v>2.3160621761658029</v>
      </c>
    </row>
    <row r="171" spans="1:18" x14ac:dyDescent="0.3">
      <c r="A171">
        <v>170</v>
      </c>
      <c r="B171" s="7">
        <v>45200</v>
      </c>
      <c r="C171" s="5">
        <v>80</v>
      </c>
      <c r="D171" s="5">
        <v>122</v>
      </c>
      <c r="E171" s="5">
        <v>152</v>
      </c>
      <c r="F171" s="5">
        <v>10598</v>
      </c>
      <c r="G171" s="5">
        <v>493</v>
      </c>
      <c r="H171" t="str">
        <f t="shared" si="11"/>
        <v>Invalid</v>
      </c>
      <c r="I171" t="str">
        <f t="shared" si="12"/>
        <v>Valid</v>
      </c>
      <c r="J171" s="5">
        <f t="shared" si="13"/>
        <v>10105</v>
      </c>
      <c r="K171" s="5">
        <f t="shared" si="14"/>
        <v>10720</v>
      </c>
      <c r="L171" s="5">
        <f>IF(Table1[[#This Row],[Total_System_Load]]&gt;80%*AVERAGE(Table1[Total_System_Load]),Table1[[#This Row],[Total_System_Load]]-Table1[[#This Row],[Total_Children_Under_Care]],0)</f>
        <v>615</v>
      </c>
      <c r="M171" s="5">
        <f t="shared" si="10"/>
        <v>-341</v>
      </c>
      <c r="N171" s="5">
        <f>M172-Table1[[#This Row],[Net_Daily_Intake]]</f>
        <v>190</v>
      </c>
      <c r="O171" s="5">
        <f>M172-Table1[[#This Row],[Net_Daily_Intake]]/Table1[[#This Row],[Net_Daily_Intake]]</f>
        <v>-152</v>
      </c>
      <c r="P171" t="str">
        <f>IF(Table1[[#This Row],[Change_in_Net_Daily_Intake]]&gt;0,"Sustained Positive","Negative")</f>
        <v>Sustained Positive</v>
      </c>
      <c r="Q171" s="1">
        <f>(Table1[[#This Row],[Total_System_Load]]-Table1[[#This Row],[Total_Children_Under_Care]])/Table1[[#This Row],[Total_Children_Under_Care]]*100</f>
        <v>6.086095992083127</v>
      </c>
      <c r="R171" s="1">
        <f>(Table1[[#This Row],[Children_discharged _from_HHS_ Care]]/Table1[[#This Row],[Children_transferred_out_of_CBP_custody]])</f>
        <v>3.2434210526315788</v>
      </c>
    </row>
    <row r="172" spans="1:18" x14ac:dyDescent="0.3">
      <c r="A172">
        <v>171</v>
      </c>
      <c r="B172" s="7">
        <v>45201</v>
      </c>
      <c r="C172" s="5">
        <v>107</v>
      </c>
      <c r="D172" s="5">
        <v>170</v>
      </c>
      <c r="E172" s="5">
        <v>133</v>
      </c>
      <c r="F172" s="5">
        <v>10724</v>
      </c>
      <c r="G172" s="5">
        <v>284</v>
      </c>
      <c r="H172" t="str">
        <f t="shared" si="11"/>
        <v>Valid</v>
      </c>
      <c r="I172" t="str">
        <f t="shared" si="12"/>
        <v>Valid</v>
      </c>
      <c r="J172" s="5">
        <f t="shared" si="13"/>
        <v>10440</v>
      </c>
      <c r="K172" s="5">
        <f t="shared" si="14"/>
        <v>10894</v>
      </c>
      <c r="L172" s="5">
        <f>IF(Table1[[#This Row],[Total_System_Load]]&gt;80%*AVERAGE(Table1[Total_System_Load]),Table1[[#This Row],[Total_System_Load]]-Table1[[#This Row],[Total_Children_Under_Care]],0)</f>
        <v>454</v>
      </c>
      <c r="M172" s="5">
        <f t="shared" si="10"/>
        <v>-151</v>
      </c>
      <c r="N172" s="5">
        <f>M173-Table1[[#This Row],[Net_Daily_Intake]]</f>
        <v>3</v>
      </c>
      <c r="O172" s="5">
        <f>M173-Table1[[#This Row],[Net_Daily_Intake]]/Table1[[#This Row],[Net_Daily_Intake]]</f>
        <v>-149</v>
      </c>
      <c r="P172" t="str">
        <f>IF(Table1[[#This Row],[Change_in_Net_Daily_Intake]]&gt;0,"Sustained Positive","Negative")</f>
        <v>Sustained Positive</v>
      </c>
      <c r="Q172" s="1">
        <f>(Table1[[#This Row],[Total_System_Load]]-Table1[[#This Row],[Total_Children_Under_Care]])/Table1[[#This Row],[Total_Children_Under_Care]]*100</f>
        <v>4.3486590038314175</v>
      </c>
      <c r="R172" s="1">
        <f>(Table1[[#This Row],[Children_discharged _from_HHS_ Care]]/Table1[[#This Row],[Children_transferred_out_of_CBP_custody]])</f>
        <v>2.1353383458646618</v>
      </c>
    </row>
    <row r="173" spans="1:18" x14ac:dyDescent="0.3">
      <c r="A173">
        <v>172</v>
      </c>
      <c r="B173" s="7">
        <v>45202</v>
      </c>
      <c r="C173" s="5">
        <v>99</v>
      </c>
      <c r="D173" s="5">
        <v>156</v>
      </c>
      <c r="E173" s="5">
        <v>139</v>
      </c>
      <c r="F173" s="5">
        <v>10818</v>
      </c>
      <c r="G173" s="5">
        <v>287</v>
      </c>
      <c r="H173" t="str">
        <f t="shared" si="11"/>
        <v>Valid</v>
      </c>
      <c r="I173" t="str">
        <f t="shared" si="12"/>
        <v>Valid</v>
      </c>
      <c r="J173" s="5">
        <f t="shared" si="13"/>
        <v>10531</v>
      </c>
      <c r="K173" s="5">
        <f t="shared" si="14"/>
        <v>10974</v>
      </c>
      <c r="L173" s="5">
        <f>IF(Table1[[#This Row],[Total_System_Load]]&gt;80%*AVERAGE(Table1[Total_System_Load]),Table1[[#This Row],[Total_System_Load]]-Table1[[#This Row],[Total_Children_Under_Care]],0)</f>
        <v>443</v>
      </c>
      <c r="M173" s="5">
        <f t="shared" si="10"/>
        <v>-148</v>
      </c>
      <c r="N173" s="5">
        <f>M174-Table1[[#This Row],[Net_Daily_Intake]]</f>
        <v>-88</v>
      </c>
      <c r="O173" s="5">
        <f>M174-Table1[[#This Row],[Net_Daily_Intake]]/Table1[[#This Row],[Net_Daily_Intake]]</f>
        <v>-237</v>
      </c>
      <c r="P173" t="str">
        <f>IF(Table1[[#This Row],[Change_in_Net_Daily_Intake]]&gt;0,"Sustained Positive","Negative")</f>
        <v>Negative</v>
      </c>
      <c r="Q173" s="1">
        <f>(Table1[[#This Row],[Total_System_Load]]-Table1[[#This Row],[Total_Children_Under_Care]])/Table1[[#This Row],[Total_Children_Under_Care]]*100</f>
        <v>4.2066280505175202</v>
      </c>
      <c r="R173" s="1">
        <f>(Table1[[#This Row],[Children_discharged _from_HHS_ Care]]/Table1[[#This Row],[Children_transferred_out_of_CBP_custody]])</f>
        <v>2.064748201438849</v>
      </c>
    </row>
    <row r="174" spans="1:18" x14ac:dyDescent="0.3">
      <c r="A174">
        <v>173</v>
      </c>
      <c r="B174" s="7">
        <v>45203</v>
      </c>
      <c r="C174" s="5">
        <v>25</v>
      </c>
      <c r="D174" s="5">
        <v>66</v>
      </c>
      <c r="E174" s="5">
        <v>94</v>
      </c>
      <c r="F174" s="5">
        <v>10963</v>
      </c>
      <c r="G174" s="5">
        <v>330</v>
      </c>
      <c r="H174" t="str">
        <f t="shared" si="11"/>
        <v>Invalid</v>
      </c>
      <c r="I174" t="str">
        <f t="shared" si="12"/>
        <v>Valid</v>
      </c>
      <c r="J174" s="5">
        <f t="shared" si="13"/>
        <v>10633</v>
      </c>
      <c r="K174" s="5">
        <f t="shared" si="14"/>
        <v>11029</v>
      </c>
      <c r="L174" s="5">
        <f>IF(Table1[[#This Row],[Total_System_Load]]&gt;80%*AVERAGE(Table1[Total_System_Load]),Table1[[#This Row],[Total_System_Load]]-Table1[[#This Row],[Total_Children_Under_Care]],0)</f>
        <v>396</v>
      </c>
      <c r="M174" s="5">
        <f t="shared" si="10"/>
        <v>-236</v>
      </c>
      <c r="N174" s="5">
        <f>M175-Table1[[#This Row],[Net_Daily_Intake]]</f>
        <v>-138</v>
      </c>
      <c r="O174" s="5">
        <f>M175-Table1[[#This Row],[Net_Daily_Intake]]/Table1[[#This Row],[Net_Daily_Intake]]</f>
        <v>-375</v>
      </c>
      <c r="P174" t="str">
        <f>IF(Table1[[#This Row],[Change_in_Net_Daily_Intake]]&gt;0,"Sustained Positive","Negative")</f>
        <v>Negative</v>
      </c>
      <c r="Q174" s="1">
        <f>(Table1[[#This Row],[Total_System_Load]]-Table1[[#This Row],[Total_Children_Under_Care]])/Table1[[#This Row],[Total_Children_Under_Care]]*100</f>
        <v>3.7242546788300572</v>
      </c>
      <c r="R174" s="1">
        <f>(Table1[[#This Row],[Children_discharged _from_HHS_ Care]]/Table1[[#This Row],[Children_transferred_out_of_CBP_custody]])</f>
        <v>3.5106382978723403</v>
      </c>
    </row>
    <row r="175" spans="1:18" x14ac:dyDescent="0.3">
      <c r="A175">
        <v>174</v>
      </c>
      <c r="B175" s="7">
        <v>45204</v>
      </c>
      <c r="C175" s="5">
        <v>35</v>
      </c>
      <c r="D175" s="5">
        <v>70</v>
      </c>
      <c r="E175" s="5">
        <v>53</v>
      </c>
      <c r="F175" s="5">
        <v>11130</v>
      </c>
      <c r="G175" s="5">
        <v>427</v>
      </c>
      <c r="H175" t="str">
        <f t="shared" si="11"/>
        <v>Valid</v>
      </c>
      <c r="I175" t="str">
        <f t="shared" si="12"/>
        <v>Valid</v>
      </c>
      <c r="J175" s="5">
        <f t="shared" si="13"/>
        <v>10703</v>
      </c>
      <c r="K175" s="5">
        <f t="shared" si="14"/>
        <v>11200</v>
      </c>
      <c r="L175" s="5">
        <f>IF(Table1[[#This Row],[Total_System_Load]]&gt;80%*AVERAGE(Table1[Total_System_Load]),Table1[[#This Row],[Total_System_Load]]-Table1[[#This Row],[Total_Children_Under_Care]],0)</f>
        <v>497</v>
      </c>
      <c r="M175" s="5">
        <f t="shared" si="10"/>
        <v>-374</v>
      </c>
      <c r="N175" s="5">
        <f>M176-Table1[[#This Row],[Net_Daily_Intake]]</f>
        <v>156</v>
      </c>
      <c r="O175" s="5">
        <f>M176-Table1[[#This Row],[Net_Daily_Intake]]/Table1[[#This Row],[Net_Daily_Intake]]</f>
        <v>-219</v>
      </c>
      <c r="P175" t="str">
        <f>IF(Table1[[#This Row],[Change_in_Net_Daily_Intake]]&gt;0,"Sustained Positive","Negative")</f>
        <v>Sustained Positive</v>
      </c>
      <c r="Q175" s="1">
        <f>(Table1[[#This Row],[Total_System_Load]]-Table1[[#This Row],[Total_Children_Under_Care]])/Table1[[#This Row],[Total_Children_Under_Care]]*100</f>
        <v>4.6435578809679532</v>
      </c>
      <c r="R175" s="1">
        <f>(Table1[[#This Row],[Children_discharged _from_HHS_ Care]]/Table1[[#This Row],[Children_transferred_out_of_CBP_custody]])</f>
        <v>8.0566037735849054</v>
      </c>
    </row>
    <row r="176" spans="1:18" x14ac:dyDescent="0.3">
      <c r="A176">
        <v>175</v>
      </c>
      <c r="B176" s="7">
        <v>45208</v>
      </c>
      <c r="C176" s="5">
        <v>43</v>
      </c>
      <c r="D176" s="5">
        <v>73</v>
      </c>
      <c r="E176" s="5">
        <v>64</v>
      </c>
      <c r="F176" s="5">
        <v>10815</v>
      </c>
      <c r="G176" s="5">
        <v>282</v>
      </c>
      <c r="H176" t="str">
        <f t="shared" si="11"/>
        <v>Valid</v>
      </c>
      <c r="I176" t="str">
        <f t="shared" si="12"/>
        <v>Valid</v>
      </c>
      <c r="J176" s="5">
        <f t="shared" si="13"/>
        <v>10533</v>
      </c>
      <c r="K176" s="5">
        <f t="shared" si="14"/>
        <v>10888</v>
      </c>
      <c r="L176" s="5">
        <f>IF(Table1[[#This Row],[Total_System_Load]]&gt;80%*AVERAGE(Table1[Total_System_Load]),Table1[[#This Row],[Total_System_Load]]-Table1[[#This Row],[Total_Children_Under_Care]],0)</f>
        <v>355</v>
      </c>
      <c r="M176" s="5">
        <f t="shared" si="10"/>
        <v>-218</v>
      </c>
      <c r="N176" s="5">
        <f>M177-Table1[[#This Row],[Net_Daily_Intake]]</f>
        <v>32</v>
      </c>
      <c r="O176" s="5">
        <f>M177-Table1[[#This Row],[Net_Daily_Intake]]/Table1[[#This Row],[Net_Daily_Intake]]</f>
        <v>-187</v>
      </c>
      <c r="P176" t="str">
        <f>IF(Table1[[#This Row],[Change_in_Net_Daily_Intake]]&gt;0,"Sustained Positive","Negative")</f>
        <v>Sustained Positive</v>
      </c>
      <c r="Q176" s="1">
        <f>(Table1[[#This Row],[Total_System_Load]]-Table1[[#This Row],[Total_Children_Under_Care]])/Table1[[#This Row],[Total_Children_Under_Care]]*100</f>
        <v>3.3703598215133392</v>
      </c>
      <c r="R176" s="1">
        <f>(Table1[[#This Row],[Children_discharged _from_HHS_ Care]]/Table1[[#This Row],[Children_transferred_out_of_CBP_custody]])</f>
        <v>4.40625</v>
      </c>
    </row>
    <row r="177" spans="1:18" x14ac:dyDescent="0.3">
      <c r="A177">
        <v>176</v>
      </c>
      <c r="B177" s="7">
        <v>45209</v>
      </c>
      <c r="C177" s="5">
        <v>41</v>
      </c>
      <c r="D177" s="5">
        <v>60</v>
      </c>
      <c r="E177" s="5">
        <v>71</v>
      </c>
      <c r="F177" s="5">
        <v>10910</v>
      </c>
      <c r="G177" s="5">
        <v>257</v>
      </c>
      <c r="H177" t="str">
        <f t="shared" si="11"/>
        <v>Invalid</v>
      </c>
      <c r="I177" t="str">
        <f t="shared" si="12"/>
        <v>Valid</v>
      </c>
      <c r="J177" s="5">
        <f t="shared" si="13"/>
        <v>10653</v>
      </c>
      <c r="K177" s="5">
        <f t="shared" si="14"/>
        <v>10970</v>
      </c>
      <c r="L177" s="5">
        <f>IF(Table1[[#This Row],[Total_System_Load]]&gt;80%*AVERAGE(Table1[Total_System_Load]),Table1[[#This Row],[Total_System_Load]]-Table1[[#This Row],[Total_Children_Under_Care]],0)</f>
        <v>317</v>
      </c>
      <c r="M177" s="5">
        <f t="shared" si="10"/>
        <v>-186</v>
      </c>
      <c r="N177" s="5">
        <f>M178-Table1[[#This Row],[Net_Daily_Intake]]</f>
        <v>-15</v>
      </c>
      <c r="O177" s="5">
        <f>M178-Table1[[#This Row],[Net_Daily_Intake]]/Table1[[#This Row],[Net_Daily_Intake]]</f>
        <v>-202</v>
      </c>
      <c r="P177" t="str">
        <f>IF(Table1[[#This Row],[Change_in_Net_Daily_Intake]]&gt;0,"Sustained Positive","Negative")</f>
        <v>Negative</v>
      </c>
      <c r="Q177" s="1">
        <f>(Table1[[#This Row],[Total_System_Load]]-Table1[[#This Row],[Total_Children_Under_Care]])/Table1[[#This Row],[Total_Children_Under_Care]]*100</f>
        <v>2.9756875997371632</v>
      </c>
      <c r="R177" s="1">
        <f>(Table1[[#This Row],[Children_discharged _from_HHS_ Care]]/Table1[[#This Row],[Children_transferred_out_of_CBP_custody]])</f>
        <v>3.619718309859155</v>
      </c>
    </row>
    <row r="178" spans="1:18" x14ac:dyDescent="0.3">
      <c r="A178">
        <v>177</v>
      </c>
      <c r="B178" s="7">
        <v>45210</v>
      </c>
      <c r="C178" s="5">
        <v>65</v>
      </c>
      <c r="D178" s="5">
        <v>83</v>
      </c>
      <c r="E178" s="5">
        <v>65</v>
      </c>
      <c r="F178" s="5">
        <v>10960</v>
      </c>
      <c r="G178" s="5">
        <v>266</v>
      </c>
      <c r="H178" t="str">
        <f t="shared" si="11"/>
        <v>Valid</v>
      </c>
      <c r="I178" t="str">
        <f t="shared" si="12"/>
        <v>Valid</v>
      </c>
      <c r="J178" s="5">
        <f t="shared" si="13"/>
        <v>10694</v>
      </c>
      <c r="K178" s="5">
        <f t="shared" si="14"/>
        <v>11043</v>
      </c>
      <c r="L178" s="5">
        <f>IF(Table1[[#This Row],[Total_System_Load]]&gt;80%*AVERAGE(Table1[Total_System_Load]),Table1[[#This Row],[Total_System_Load]]-Table1[[#This Row],[Total_Children_Under_Care]],0)</f>
        <v>349</v>
      </c>
      <c r="M178" s="5">
        <f t="shared" si="10"/>
        <v>-201</v>
      </c>
      <c r="N178" s="5">
        <f>M179-Table1[[#This Row],[Net_Daily_Intake]]</f>
        <v>-115</v>
      </c>
      <c r="O178" s="5">
        <f>M179-Table1[[#This Row],[Net_Daily_Intake]]/Table1[[#This Row],[Net_Daily_Intake]]</f>
        <v>-317</v>
      </c>
      <c r="P178" t="str">
        <f>IF(Table1[[#This Row],[Change_in_Net_Daily_Intake]]&gt;0,"Sustained Positive","Negative")</f>
        <v>Negative</v>
      </c>
      <c r="Q178" s="1">
        <f>(Table1[[#This Row],[Total_System_Load]]-Table1[[#This Row],[Total_Children_Under_Care]])/Table1[[#This Row],[Total_Children_Under_Care]]*100</f>
        <v>3.2635122498597346</v>
      </c>
      <c r="R178" s="1">
        <f>(Table1[[#This Row],[Children_discharged _from_HHS_ Care]]/Table1[[#This Row],[Children_transferred_out_of_CBP_custody]])</f>
        <v>4.092307692307692</v>
      </c>
    </row>
    <row r="179" spans="1:18" x14ac:dyDescent="0.3">
      <c r="A179">
        <v>178</v>
      </c>
      <c r="B179" s="7">
        <v>45211</v>
      </c>
      <c r="C179" s="5">
        <v>38</v>
      </c>
      <c r="D179" s="5">
        <v>80</v>
      </c>
      <c r="E179" s="5">
        <v>82</v>
      </c>
      <c r="F179" s="5">
        <v>10992</v>
      </c>
      <c r="G179" s="5">
        <v>398</v>
      </c>
      <c r="H179" t="str">
        <f t="shared" si="11"/>
        <v>Invalid</v>
      </c>
      <c r="I179" t="str">
        <f t="shared" si="12"/>
        <v>Valid</v>
      </c>
      <c r="J179" s="5">
        <f t="shared" si="13"/>
        <v>10594</v>
      </c>
      <c r="K179" s="5">
        <f t="shared" si="14"/>
        <v>11072</v>
      </c>
      <c r="L179" s="5">
        <f>IF(Table1[[#This Row],[Total_System_Load]]&gt;80%*AVERAGE(Table1[Total_System_Load]),Table1[[#This Row],[Total_System_Load]]-Table1[[#This Row],[Total_Children_Under_Care]],0)</f>
        <v>478</v>
      </c>
      <c r="M179" s="5">
        <f t="shared" si="10"/>
        <v>-316</v>
      </c>
      <c r="N179" s="5">
        <f>M180-Table1[[#This Row],[Net_Daily_Intake]]</f>
        <v>-50</v>
      </c>
      <c r="O179" s="5">
        <f>M180-Table1[[#This Row],[Net_Daily_Intake]]/Table1[[#This Row],[Net_Daily_Intake]]</f>
        <v>-367</v>
      </c>
      <c r="P179" t="str">
        <f>IF(Table1[[#This Row],[Change_in_Net_Daily_Intake]]&gt;0,"Sustained Positive","Negative")</f>
        <v>Negative</v>
      </c>
      <c r="Q179" s="1">
        <f>(Table1[[#This Row],[Total_System_Load]]-Table1[[#This Row],[Total_Children_Under_Care]])/Table1[[#This Row],[Total_Children_Under_Care]]*100</f>
        <v>4.5119879176892574</v>
      </c>
      <c r="R179" s="1">
        <f>(Table1[[#This Row],[Children_discharged _from_HHS_ Care]]/Table1[[#This Row],[Children_transferred_out_of_CBP_custody]])</f>
        <v>4.8536585365853657</v>
      </c>
    </row>
    <row r="180" spans="1:18" x14ac:dyDescent="0.3">
      <c r="A180">
        <v>179</v>
      </c>
      <c r="B180" s="7">
        <v>45214</v>
      </c>
      <c r="C180" s="5">
        <v>56</v>
      </c>
      <c r="D180" s="5">
        <v>82</v>
      </c>
      <c r="E180" s="5">
        <v>68</v>
      </c>
      <c r="F180" s="5">
        <v>10571</v>
      </c>
      <c r="G180" s="5">
        <v>434</v>
      </c>
      <c r="H180" t="str">
        <f t="shared" si="11"/>
        <v>Valid</v>
      </c>
      <c r="I180" t="str">
        <f t="shared" si="12"/>
        <v>Valid</v>
      </c>
      <c r="J180" s="5">
        <f t="shared" si="13"/>
        <v>10137</v>
      </c>
      <c r="K180" s="5">
        <f t="shared" si="14"/>
        <v>10653</v>
      </c>
      <c r="L180" s="5">
        <f>IF(Table1[[#This Row],[Total_System_Load]]&gt;80%*AVERAGE(Table1[Total_System_Load]),Table1[[#This Row],[Total_System_Load]]-Table1[[#This Row],[Total_Children_Under_Care]],0)</f>
        <v>516</v>
      </c>
      <c r="M180" s="5">
        <f t="shared" si="10"/>
        <v>-366</v>
      </c>
      <c r="N180" s="5">
        <f>M181-Table1[[#This Row],[Net_Daily_Intake]]</f>
        <v>115</v>
      </c>
      <c r="O180" s="5">
        <f>M181-Table1[[#This Row],[Net_Daily_Intake]]/Table1[[#This Row],[Net_Daily_Intake]]</f>
        <v>-252</v>
      </c>
      <c r="P180" t="str">
        <f>IF(Table1[[#This Row],[Change_in_Net_Daily_Intake]]&gt;0,"Sustained Positive","Negative")</f>
        <v>Sustained Positive</v>
      </c>
      <c r="Q180" s="1">
        <f>(Table1[[#This Row],[Total_System_Load]]-Table1[[#This Row],[Total_Children_Under_Care]])/Table1[[#This Row],[Total_Children_Under_Care]]*100</f>
        <v>5.0902633915359576</v>
      </c>
      <c r="R180" s="1">
        <f>(Table1[[#This Row],[Children_discharged _from_HHS_ Care]]/Table1[[#This Row],[Children_transferred_out_of_CBP_custody]])</f>
        <v>6.382352941176471</v>
      </c>
    </row>
    <row r="181" spans="1:18" x14ac:dyDescent="0.3">
      <c r="A181">
        <v>180</v>
      </c>
      <c r="B181" s="7">
        <v>45215</v>
      </c>
      <c r="C181" s="5">
        <v>74</v>
      </c>
      <c r="D181" s="5">
        <v>103</v>
      </c>
      <c r="E181" s="5">
        <v>80</v>
      </c>
      <c r="F181" s="5">
        <v>10629</v>
      </c>
      <c r="G181" s="5">
        <v>331</v>
      </c>
      <c r="H181" t="str">
        <f t="shared" si="11"/>
        <v>Valid</v>
      </c>
      <c r="I181" t="str">
        <f t="shared" si="12"/>
        <v>Valid</v>
      </c>
      <c r="J181" s="5">
        <f t="shared" si="13"/>
        <v>10298</v>
      </c>
      <c r="K181" s="5">
        <f t="shared" si="14"/>
        <v>10732</v>
      </c>
      <c r="L181" s="5">
        <f>IF(Table1[[#This Row],[Total_System_Load]]&gt;80%*AVERAGE(Table1[Total_System_Load]),Table1[[#This Row],[Total_System_Load]]-Table1[[#This Row],[Total_Children_Under_Care]],0)</f>
        <v>434</v>
      </c>
      <c r="M181" s="5">
        <f t="shared" si="10"/>
        <v>-251</v>
      </c>
      <c r="N181" s="5">
        <f>M182-Table1[[#This Row],[Net_Daily_Intake]]</f>
        <v>38</v>
      </c>
      <c r="O181" s="5">
        <f>M182-Table1[[#This Row],[Net_Daily_Intake]]/Table1[[#This Row],[Net_Daily_Intake]]</f>
        <v>-214</v>
      </c>
      <c r="P181" t="str">
        <f>IF(Table1[[#This Row],[Change_in_Net_Daily_Intake]]&gt;0,"Sustained Positive","Negative")</f>
        <v>Sustained Positive</v>
      </c>
      <c r="Q181" s="1">
        <f>(Table1[[#This Row],[Total_System_Load]]-Table1[[#This Row],[Total_Children_Under_Care]])/Table1[[#This Row],[Total_Children_Under_Care]]*100</f>
        <v>4.2144105651582828</v>
      </c>
      <c r="R181" s="1">
        <f>(Table1[[#This Row],[Children_discharged _from_HHS_ Care]]/Table1[[#This Row],[Children_transferred_out_of_CBP_custody]])</f>
        <v>4.1375000000000002</v>
      </c>
    </row>
    <row r="182" spans="1:18" x14ac:dyDescent="0.3">
      <c r="A182">
        <v>181</v>
      </c>
      <c r="B182" s="7">
        <v>45216</v>
      </c>
      <c r="C182" s="5">
        <v>68</v>
      </c>
      <c r="D182" s="5">
        <v>107</v>
      </c>
      <c r="E182" s="5">
        <v>102</v>
      </c>
      <c r="F182" s="5">
        <v>10630</v>
      </c>
      <c r="G182" s="5">
        <v>315</v>
      </c>
      <c r="H182" t="str">
        <f t="shared" si="11"/>
        <v>Valid</v>
      </c>
      <c r="I182" t="str">
        <f t="shared" si="12"/>
        <v>Valid</v>
      </c>
      <c r="J182" s="5">
        <f t="shared" si="13"/>
        <v>10315</v>
      </c>
      <c r="K182" s="5">
        <f t="shared" si="14"/>
        <v>10737</v>
      </c>
      <c r="L182" s="5">
        <f>IF(Table1[[#This Row],[Total_System_Load]]&gt;80%*AVERAGE(Table1[Total_System_Load]),Table1[[#This Row],[Total_System_Load]]-Table1[[#This Row],[Total_Children_Under_Care]],0)</f>
        <v>422</v>
      </c>
      <c r="M182" s="5">
        <f t="shared" si="10"/>
        <v>-213</v>
      </c>
      <c r="N182" s="5">
        <f>M183-Table1[[#This Row],[Net_Daily_Intake]]</f>
        <v>-87</v>
      </c>
      <c r="O182" s="5">
        <f>M183-Table1[[#This Row],[Net_Daily_Intake]]/Table1[[#This Row],[Net_Daily_Intake]]</f>
        <v>-301</v>
      </c>
      <c r="P182" t="str">
        <f>IF(Table1[[#This Row],[Change_in_Net_Daily_Intake]]&gt;0,"Sustained Positive","Negative")</f>
        <v>Negative</v>
      </c>
      <c r="Q182" s="1">
        <f>(Table1[[#This Row],[Total_System_Load]]-Table1[[#This Row],[Total_Children_Under_Care]])/Table1[[#This Row],[Total_Children_Under_Care]]*100</f>
        <v>4.0911294231701412</v>
      </c>
      <c r="R182" s="1">
        <f>(Table1[[#This Row],[Children_discharged _from_HHS_ Care]]/Table1[[#This Row],[Children_transferred_out_of_CBP_custody]])</f>
        <v>3.0882352941176472</v>
      </c>
    </row>
    <row r="183" spans="1:18" x14ac:dyDescent="0.3">
      <c r="A183">
        <v>182</v>
      </c>
      <c r="B183" s="7">
        <v>45217</v>
      </c>
      <c r="C183" s="5">
        <v>92</v>
      </c>
      <c r="D183" s="5">
        <v>124</v>
      </c>
      <c r="E183" s="5">
        <v>93</v>
      </c>
      <c r="F183" s="5">
        <v>10511</v>
      </c>
      <c r="G183" s="5">
        <v>393</v>
      </c>
      <c r="H183" t="str">
        <f t="shared" si="11"/>
        <v>Valid</v>
      </c>
      <c r="I183" t="str">
        <f t="shared" si="12"/>
        <v>Valid</v>
      </c>
      <c r="J183" s="5">
        <f t="shared" si="13"/>
        <v>10118</v>
      </c>
      <c r="K183" s="5">
        <f t="shared" si="14"/>
        <v>10635</v>
      </c>
      <c r="L183" s="5">
        <f>IF(Table1[[#This Row],[Total_System_Load]]&gt;80%*AVERAGE(Table1[Total_System_Load]),Table1[[#This Row],[Total_System_Load]]-Table1[[#This Row],[Total_Children_Under_Care]],0)</f>
        <v>517</v>
      </c>
      <c r="M183" s="5">
        <f t="shared" si="10"/>
        <v>-300</v>
      </c>
      <c r="N183" s="5">
        <f>M184-Table1[[#This Row],[Net_Daily_Intake]]</f>
        <v>1</v>
      </c>
      <c r="O183" s="5">
        <f>M184-Table1[[#This Row],[Net_Daily_Intake]]/Table1[[#This Row],[Net_Daily_Intake]]</f>
        <v>-300</v>
      </c>
      <c r="P183" t="str">
        <f>IF(Table1[[#This Row],[Change_in_Net_Daily_Intake]]&gt;0,"Sustained Positive","Negative")</f>
        <v>Sustained Positive</v>
      </c>
      <c r="Q183" s="1">
        <f>(Table1[[#This Row],[Total_System_Load]]-Table1[[#This Row],[Total_Children_Under_Care]])/Table1[[#This Row],[Total_Children_Under_Care]]*100</f>
        <v>5.1097054753903937</v>
      </c>
      <c r="R183" s="1">
        <f>(Table1[[#This Row],[Children_discharged _from_HHS_ Care]]/Table1[[#This Row],[Children_transferred_out_of_CBP_custody]])</f>
        <v>4.225806451612903</v>
      </c>
    </row>
    <row r="184" spans="1:18" x14ac:dyDescent="0.3">
      <c r="A184">
        <v>183</v>
      </c>
      <c r="B184" s="7">
        <v>45218</v>
      </c>
      <c r="C184" s="5">
        <v>113</v>
      </c>
      <c r="D184" s="5">
        <v>162</v>
      </c>
      <c r="E184" s="5">
        <v>107</v>
      </c>
      <c r="F184" s="5">
        <v>10319</v>
      </c>
      <c r="G184" s="5">
        <v>406</v>
      </c>
      <c r="H184" t="str">
        <f t="shared" si="11"/>
        <v>Valid</v>
      </c>
      <c r="I184" t="str">
        <f t="shared" si="12"/>
        <v>Valid</v>
      </c>
      <c r="J184" s="5">
        <f t="shared" si="13"/>
        <v>9913</v>
      </c>
      <c r="K184" s="5">
        <f t="shared" si="14"/>
        <v>10481</v>
      </c>
      <c r="L184" s="5">
        <f>IF(Table1[[#This Row],[Total_System_Load]]&gt;80%*AVERAGE(Table1[Total_System_Load]),Table1[[#This Row],[Total_System_Load]]-Table1[[#This Row],[Total_Children_Under_Care]],0)</f>
        <v>568</v>
      </c>
      <c r="M184" s="5">
        <f t="shared" si="10"/>
        <v>-299</v>
      </c>
      <c r="N184" s="5">
        <f>M185-Table1[[#This Row],[Net_Daily_Intake]]</f>
        <v>-24</v>
      </c>
      <c r="O184" s="5">
        <f>M185-Table1[[#This Row],[Net_Daily_Intake]]/Table1[[#This Row],[Net_Daily_Intake]]</f>
        <v>-324</v>
      </c>
      <c r="P184" t="str">
        <f>IF(Table1[[#This Row],[Change_in_Net_Daily_Intake]]&gt;0,"Sustained Positive","Negative")</f>
        <v>Negative</v>
      </c>
      <c r="Q184" s="1">
        <f>(Table1[[#This Row],[Total_System_Load]]-Table1[[#This Row],[Total_Children_Under_Care]])/Table1[[#This Row],[Total_Children_Under_Care]]*100</f>
        <v>5.7298496923232118</v>
      </c>
      <c r="R184" s="1">
        <f>(Table1[[#This Row],[Children_discharged _from_HHS_ Care]]/Table1[[#This Row],[Children_transferred_out_of_CBP_custody]])</f>
        <v>3.7943925233644862</v>
      </c>
    </row>
    <row r="185" spans="1:18" x14ac:dyDescent="0.3">
      <c r="A185">
        <v>184</v>
      </c>
      <c r="B185" s="7">
        <v>45221</v>
      </c>
      <c r="C185" s="5">
        <v>106</v>
      </c>
      <c r="D185" s="5">
        <v>196</v>
      </c>
      <c r="E185" s="5">
        <v>131</v>
      </c>
      <c r="F185" s="5">
        <v>9506</v>
      </c>
      <c r="G185" s="5">
        <v>454</v>
      </c>
      <c r="H185" t="str">
        <f t="shared" si="11"/>
        <v>Valid</v>
      </c>
      <c r="I185" t="str">
        <f t="shared" si="12"/>
        <v>Valid</v>
      </c>
      <c r="J185" s="5">
        <f t="shared" si="13"/>
        <v>9052</v>
      </c>
      <c r="K185" s="5">
        <f t="shared" si="14"/>
        <v>9702</v>
      </c>
      <c r="L185" s="5">
        <f>IF(Table1[[#This Row],[Total_System_Load]]&gt;80%*AVERAGE(Table1[Total_System_Load]),Table1[[#This Row],[Total_System_Load]]-Table1[[#This Row],[Total_Children_Under_Care]],0)</f>
        <v>650</v>
      </c>
      <c r="M185" s="5">
        <f t="shared" si="10"/>
        <v>-323</v>
      </c>
      <c r="N185" s="5">
        <f>M186-Table1[[#This Row],[Net_Daily_Intake]]</f>
        <v>164</v>
      </c>
      <c r="O185" s="5">
        <f>M186-Table1[[#This Row],[Net_Daily_Intake]]/Table1[[#This Row],[Net_Daily_Intake]]</f>
        <v>-160</v>
      </c>
      <c r="P185" t="str">
        <f>IF(Table1[[#This Row],[Change_in_Net_Daily_Intake]]&gt;0,"Sustained Positive","Negative")</f>
        <v>Sustained Positive</v>
      </c>
      <c r="Q185" s="1">
        <f>(Table1[[#This Row],[Total_System_Load]]-Table1[[#This Row],[Total_Children_Under_Care]])/Table1[[#This Row],[Total_Children_Under_Care]]*100</f>
        <v>7.1807335395492711</v>
      </c>
      <c r="R185" s="1">
        <f>(Table1[[#This Row],[Children_discharged _from_HHS_ Care]]/Table1[[#This Row],[Children_transferred_out_of_CBP_custody]])</f>
        <v>3.4656488549618323</v>
      </c>
    </row>
    <row r="186" spans="1:18" x14ac:dyDescent="0.3">
      <c r="A186">
        <v>185</v>
      </c>
      <c r="B186" s="7">
        <v>45222</v>
      </c>
      <c r="C186" s="5">
        <v>86</v>
      </c>
      <c r="D186" s="5">
        <v>152</v>
      </c>
      <c r="E186" s="5">
        <v>168</v>
      </c>
      <c r="F186" s="5">
        <v>9436</v>
      </c>
      <c r="G186" s="5">
        <v>327</v>
      </c>
      <c r="H186" t="str">
        <f t="shared" si="11"/>
        <v>Invalid</v>
      </c>
      <c r="I186" t="str">
        <f t="shared" si="12"/>
        <v>Valid</v>
      </c>
      <c r="J186" s="5">
        <f t="shared" si="13"/>
        <v>9109</v>
      </c>
      <c r="K186" s="5">
        <f t="shared" si="14"/>
        <v>9588</v>
      </c>
      <c r="L186" s="5">
        <f>IF(Table1[[#This Row],[Total_System_Load]]&gt;80%*AVERAGE(Table1[Total_System_Load]),Table1[[#This Row],[Total_System_Load]]-Table1[[#This Row],[Total_Children_Under_Care]],0)</f>
        <v>479</v>
      </c>
      <c r="M186" s="5">
        <f t="shared" si="10"/>
        <v>-159</v>
      </c>
      <c r="N186" s="5">
        <f>M187-Table1[[#This Row],[Net_Daily_Intake]]</f>
        <v>-5</v>
      </c>
      <c r="O186" s="5">
        <f>M187-Table1[[#This Row],[Net_Daily_Intake]]/Table1[[#This Row],[Net_Daily_Intake]]</f>
        <v>-165</v>
      </c>
      <c r="P186" t="str">
        <f>IF(Table1[[#This Row],[Change_in_Net_Daily_Intake]]&gt;0,"Sustained Positive","Negative")</f>
        <v>Negative</v>
      </c>
      <c r="Q186" s="1">
        <f>(Table1[[#This Row],[Total_System_Load]]-Table1[[#This Row],[Total_Children_Under_Care]])/Table1[[#This Row],[Total_Children_Under_Care]]*100</f>
        <v>5.25853551432649</v>
      </c>
      <c r="R186" s="1">
        <f>(Table1[[#This Row],[Children_discharged _from_HHS_ Care]]/Table1[[#This Row],[Children_transferred_out_of_CBP_custody]])</f>
        <v>1.9464285714285714</v>
      </c>
    </row>
    <row r="187" spans="1:18" x14ac:dyDescent="0.3">
      <c r="A187">
        <v>186</v>
      </c>
      <c r="B187" s="7">
        <v>45223</v>
      </c>
      <c r="C187" s="5">
        <v>84</v>
      </c>
      <c r="D187" s="5">
        <v>118</v>
      </c>
      <c r="E187" s="5">
        <v>136</v>
      </c>
      <c r="F187" s="5">
        <v>9396</v>
      </c>
      <c r="G187" s="5">
        <v>300</v>
      </c>
      <c r="H187" t="str">
        <f t="shared" si="11"/>
        <v>Invalid</v>
      </c>
      <c r="I187" t="str">
        <f t="shared" si="12"/>
        <v>Valid</v>
      </c>
      <c r="J187" s="5">
        <f t="shared" si="13"/>
        <v>9096</v>
      </c>
      <c r="K187" s="5">
        <f t="shared" si="14"/>
        <v>9514</v>
      </c>
      <c r="L187" s="5">
        <f>IF(Table1[[#This Row],[Total_System_Load]]&gt;80%*AVERAGE(Table1[Total_System_Load]),Table1[[#This Row],[Total_System_Load]]-Table1[[#This Row],[Total_Children_Under_Care]],0)</f>
        <v>418</v>
      </c>
      <c r="M187" s="5">
        <f t="shared" si="10"/>
        <v>-164</v>
      </c>
      <c r="N187" s="5">
        <f>M188-Table1[[#This Row],[Net_Daily_Intake]]</f>
        <v>-12</v>
      </c>
      <c r="O187" s="5">
        <f>M188-Table1[[#This Row],[Net_Daily_Intake]]/Table1[[#This Row],[Net_Daily_Intake]]</f>
        <v>-177</v>
      </c>
      <c r="P187" t="str">
        <f>IF(Table1[[#This Row],[Change_in_Net_Daily_Intake]]&gt;0,"Sustained Positive","Negative")</f>
        <v>Negative</v>
      </c>
      <c r="Q187" s="1">
        <f>(Table1[[#This Row],[Total_System_Load]]-Table1[[#This Row],[Total_Children_Under_Care]])/Table1[[#This Row],[Total_Children_Under_Care]]*100</f>
        <v>4.5954265611257696</v>
      </c>
      <c r="R187" s="1">
        <f>(Table1[[#This Row],[Children_discharged _from_HHS_ Care]]/Table1[[#This Row],[Children_transferred_out_of_CBP_custody]])</f>
        <v>2.2058823529411766</v>
      </c>
    </row>
    <row r="188" spans="1:18" x14ac:dyDescent="0.3">
      <c r="A188">
        <v>187</v>
      </c>
      <c r="B188" s="7">
        <v>45224</v>
      </c>
      <c r="C188" s="5">
        <v>59</v>
      </c>
      <c r="D188" s="5">
        <v>64</v>
      </c>
      <c r="E188" s="5">
        <v>117</v>
      </c>
      <c r="F188" s="5">
        <v>9351</v>
      </c>
      <c r="G188" s="5">
        <v>293</v>
      </c>
      <c r="H188" t="str">
        <f t="shared" si="11"/>
        <v>Invalid</v>
      </c>
      <c r="I188" t="str">
        <f t="shared" si="12"/>
        <v>Valid</v>
      </c>
      <c r="J188" s="5">
        <f t="shared" si="13"/>
        <v>9058</v>
      </c>
      <c r="K188" s="5">
        <f t="shared" si="14"/>
        <v>9415</v>
      </c>
      <c r="L188" s="5">
        <f>IF(Table1[[#This Row],[Total_System_Load]]&gt;80%*AVERAGE(Table1[Total_System_Load]),Table1[[#This Row],[Total_System_Load]]-Table1[[#This Row],[Total_Children_Under_Care]],0)</f>
        <v>357</v>
      </c>
      <c r="M188" s="5">
        <f t="shared" si="10"/>
        <v>-176</v>
      </c>
      <c r="N188" s="5">
        <f>M189-Table1[[#This Row],[Net_Daily_Intake]]</f>
        <v>-162</v>
      </c>
      <c r="O188" s="5">
        <f>M189-Table1[[#This Row],[Net_Daily_Intake]]/Table1[[#This Row],[Net_Daily_Intake]]</f>
        <v>-339</v>
      </c>
      <c r="P188" t="str">
        <f>IF(Table1[[#This Row],[Change_in_Net_Daily_Intake]]&gt;0,"Sustained Positive","Negative")</f>
        <v>Negative</v>
      </c>
      <c r="Q188" s="1">
        <f>(Table1[[#This Row],[Total_System_Load]]-Table1[[#This Row],[Total_Children_Under_Care]])/Table1[[#This Row],[Total_Children_Under_Care]]*100</f>
        <v>3.9412673879443583</v>
      </c>
      <c r="R188" s="1">
        <f>(Table1[[#This Row],[Children_discharged _from_HHS_ Care]]/Table1[[#This Row],[Children_transferred_out_of_CBP_custody]])</f>
        <v>2.5042735042735043</v>
      </c>
    </row>
    <row r="189" spans="1:18" x14ac:dyDescent="0.3">
      <c r="A189">
        <v>188</v>
      </c>
      <c r="B189" s="7">
        <v>45225</v>
      </c>
      <c r="C189" s="5">
        <v>62</v>
      </c>
      <c r="D189" s="5">
        <v>97</v>
      </c>
      <c r="E189" s="5">
        <v>52</v>
      </c>
      <c r="F189" s="5">
        <v>9235</v>
      </c>
      <c r="G189" s="5">
        <v>390</v>
      </c>
      <c r="H189" t="str">
        <f t="shared" si="11"/>
        <v>Valid</v>
      </c>
      <c r="I189" t="str">
        <f t="shared" si="12"/>
        <v>Valid</v>
      </c>
      <c r="J189" s="5">
        <f t="shared" si="13"/>
        <v>8845</v>
      </c>
      <c r="K189" s="5">
        <f t="shared" si="14"/>
        <v>9332</v>
      </c>
      <c r="L189" s="5">
        <f>IF(Table1[[#This Row],[Total_System_Load]]&gt;80%*AVERAGE(Table1[Total_System_Load]),Table1[[#This Row],[Total_System_Load]]-Table1[[#This Row],[Total_Children_Under_Care]],0)</f>
        <v>487</v>
      </c>
      <c r="M189" s="5">
        <f t="shared" si="10"/>
        <v>-338</v>
      </c>
      <c r="N189" s="5">
        <f>M190-Table1[[#This Row],[Net_Daily_Intake]]</f>
        <v>17</v>
      </c>
      <c r="O189" s="5">
        <f>M190-Table1[[#This Row],[Net_Daily_Intake]]/Table1[[#This Row],[Net_Daily_Intake]]</f>
        <v>-322</v>
      </c>
      <c r="P189" t="str">
        <f>IF(Table1[[#This Row],[Change_in_Net_Daily_Intake]]&gt;0,"Sustained Positive","Negative")</f>
        <v>Sustained Positive</v>
      </c>
      <c r="Q189" s="1">
        <f>(Table1[[#This Row],[Total_System_Load]]-Table1[[#This Row],[Total_Children_Under_Care]])/Table1[[#This Row],[Total_Children_Under_Care]]*100</f>
        <v>5.5059355568117576</v>
      </c>
      <c r="R189" s="1">
        <f>(Table1[[#This Row],[Children_discharged _from_HHS_ Care]]/Table1[[#This Row],[Children_transferred_out_of_CBP_custody]])</f>
        <v>7.5</v>
      </c>
    </row>
    <row r="190" spans="1:18" x14ac:dyDescent="0.3">
      <c r="A190">
        <v>189</v>
      </c>
      <c r="B190" s="7">
        <v>45228</v>
      </c>
      <c r="C190" s="5">
        <v>91</v>
      </c>
      <c r="D190" s="5">
        <v>75</v>
      </c>
      <c r="E190" s="5">
        <v>97</v>
      </c>
      <c r="F190" s="5">
        <v>8925</v>
      </c>
      <c r="G190" s="5">
        <v>418</v>
      </c>
      <c r="H190" t="str">
        <f t="shared" si="11"/>
        <v>Invalid</v>
      </c>
      <c r="I190" t="str">
        <f t="shared" si="12"/>
        <v>Valid</v>
      </c>
      <c r="J190" s="5">
        <f t="shared" si="13"/>
        <v>8507</v>
      </c>
      <c r="K190" s="5">
        <f t="shared" si="14"/>
        <v>9000</v>
      </c>
      <c r="L190" s="5">
        <f>IF(Table1[[#This Row],[Total_System_Load]]&gt;80%*AVERAGE(Table1[Total_System_Load]),Table1[[#This Row],[Total_System_Load]]-Table1[[#This Row],[Total_Children_Under_Care]],0)</f>
        <v>493</v>
      </c>
      <c r="M190" s="5">
        <f t="shared" si="10"/>
        <v>-321</v>
      </c>
      <c r="N190" s="5">
        <f>M191-Table1[[#This Row],[Net_Daily_Intake]]</f>
        <v>54</v>
      </c>
      <c r="O190" s="5">
        <f>M191-Table1[[#This Row],[Net_Daily_Intake]]/Table1[[#This Row],[Net_Daily_Intake]]</f>
        <v>-268</v>
      </c>
      <c r="P190" t="str">
        <f>IF(Table1[[#This Row],[Change_in_Net_Daily_Intake]]&gt;0,"Sustained Positive","Negative")</f>
        <v>Sustained Positive</v>
      </c>
      <c r="Q190" s="1">
        <f>(Table1[[#This Row],[Total_System_Load]]-Table1[[#This Row],[Total_Children_Under_Care]])/Table1[[#This Row],[Total_Children_Under_Care]]*100</f>
        <v>5.7952274597390385</v>
      </c>
      <c r="R190" s="1">
        <f>(Table1[[#This Row],[Children_discharged _from_HHS_ Care]]/Table1[[#This Row],[Children_transferred_out_of_CBP_custody]])</f>
        <v>4.3092783505154637</v>
      </c>
    </row>
    <row r="191" spans="1:18" x14ac:dyDescent="0.3">
      <c r="A191">
        <v>190</v>
      </c>
      <c r="B191" s="7">
        <v>45229</v>
      </c>
      <c r="C191" s="5">
        <v>29</v>
      </c>
      <c r="D191" s="5">
        <v>51</v>
      </c>
      <c r="E191" s="5">
        <v>11</v>
      </c>
      <c r="F191" s="5">
        <v>9026</v>
      </c>
      <c r="G191" s="5">
        <v>278</v>
      </c>
      <c r="H191" t="str">
        <f t="shared" si="11"/>
        <v>Valid</v>
      </c>
      <c r="I191" t="str">
        <f t="shared" si="12"/>
        <v>Valid</v>
      </c>
      <c r="J191" s="5">
        <f t="shared" si="13"/>
        <v>8748</v>
      </c>
      <c r="K191" s="5">
        <f t="shared" si="14"/>
        <v>9077</v>
      </c>
      <c r="L191" s="5">
        <f>IF(Table1[[#This Row],[Total_System_Load]]&gt;80%*AVERAGE(Table1[Total_System_Load]),Table1[[#This Row],[Total_System_Load]]-Table1[[#This Row],[Total_Children_Under_Care]],0)</f>
        <v>329</v>
      </c>
      <c r="M191" s="5">
        <f t="shared" si="10"/>
        <v>-267</v>
      </c>
      <c r="N191" s="5">
        <f>M192-Table1[[#This Row],[Net_Daily_Intake]]</f>
        <v>6</v>
      </c>
      <c r="O191" s="5">
        <f>M192-Table1[[#This Row],[Net_Daily_Intake]]/Table1[[#This Row],[Net_Daily_Intake]]</f>
        <v>-262</v>
      </c>
      <c r="P191" t="str">
        <f>IF(Table1[[#This Row],[Change_in_Net_Daily_Intake]]&gt;0,"Sustained Positive","Negative")</f>
        <v>Sustained Positive</v>
      </c>
      <c r="Q191" s="1">
        <f>(Table1[[#This Row],[Total_System_Load]]-Table1[[#This Row],[Total_Children_Under_Care]])/Table1[[#This Row],[Total_Children_Under_Care]]*100</f>
        <v>3.7608596250571558</v>
      </c>
      <c r="R191" s="1">
        <f>(Table1[[#This Row],[Children_discharged _from_HHS_ Care]]/Table1[[#This Row],[Children_transferred_out_of_CBP_custody]])</f>
        <v>25.272727272727273</v>
      </c>
    </row>
    <row r="192" spans="1:18" x14ac:dyDescent="0.3">
      <c r="A192">
        <v>191</v>
      </c>
      <c r="B192" s="7">
        <v>45230</v>
      </c>
      <c r="C192" s="5">
        <v>33</v>
      </c>
      <c r="D192" s="5">
        <v>53</v>
      </c>
      <c r="E192" s="5">
        <v>34</v>
      </c>
      <c r="F192" s="5">
        <v>9072</v>
      </c>
      <c r="G192" s="5">
        <v>295</v>
      </c>
      <c r="H192" t="str">
        <f t="shared" si="11"/>
        <v>Valid</v>
      </c>
      <c r="I192" t="str">
        <f t="shared" si="12"/>
        <v>Valid</v>
      </c>
      <c r="J192" s="5">
        <f t="shared" si="13"/>
        <v>8777</v>
      </c>
      <c r="K192" s="5">
        <f t="shared" si="14"/>
        <v>9125</v>
      </c>
      <c r="L192" s="5">
        <f>IF(Table1[[#This Row],[Total_System_Load]]&gt;80%*AVERAGE(Table1[Total_System_Load]),Table1[[#This Row],[Total_System_Load]]-Table1[[#This Row],[Total_Children_Under_Care]],0)</f>
        <v>348</v>
      </c>
      <c r="M192" s="5">
        <f t="shared" si="10"/>
        <v>-261</v>
      </c>
      <c r="N192" s="5">
        <f>M193-Table1[[#This Row],[Net_Daily_Intake]]</f>
        <v>179</v>
      </c>
      <c r="O192" s="5">
        <f>M193-Table1[[#This Row],[Net_Daily_Intake]]/Table1[[#This Row],[Net_Daily_Intake]]</f>
        <v>-83</v>
      </c>
      <c r="P192" t="str">
        <f>IF(Table1[[#This Row],[Change_in_Net_Daily_Intake]]&gt;0,"Sustained Positive","Negative")</f>
        <v>Sustained Positive</v>
      </c>
      <c r="Q192" s="1">
        <f>(Table1[[#This Row],[Total_System_Load]]-Table1[[#This Row],[Total_Children_Under_Care]])/Table1[[#This Row],[Total_Children_Under_Care]]*100</f>
        <v>3.9649082830124187</v>
      </c>
      <c r="R192" s="1">
        <f>(Table1[[#This Row],[Children_discharged _from_HHS_ Care]]/Table1[[#This Row],[Children_transferred_out_of_CBP_custody]])</f>
        <v>8.6764705882352935</v>
      </c>
    </row>
    <row r="193" spans="1:18" x14ac:dyDescent="0.3">
      <c r="A193">
        <v>192</v>
      </c>
      <c r="B193" s="7">
        <v>45231</v>
      </c>
      <c r="C193" s="5">
        <v>132</v>
      </c>
      <c r="D193" s="5">
        <v>235</v>
      </c>
      <c r="E193" s="5">
        <v>197</v>
      </c>
      <c r="F193" s="5">
        <v>9250</v>
      </c>
      <c r="G193" s="5">
        <v>279</v>
      </c>
      <c r="H193" t="str">
        <f t="shared" si="11"/>
        <v>Valid</v>
      </c>
      <c r="I193" t="str">
        <f t="shared" si="12"/>
        <v>Valid</v>
      </c>
      <c r="J193" s="5">
        <f t="shared" si="13"/>
        <v>8971</v>
      </c>
      <c r="K193" s="5">
        <f t="shared" si="14"/>
        <v>9485</v>
      </c>
      <c r="L193" s="5">
        <f>IF(Table1[[#This Row],[Total_System_Load]]&gt;80%*AVERAGE(Table1[Total_System_Load]),Table1[[#This Row],[Total_System_Load]]-Table1[[#This Row],[Total_Children_Under_Care]],0)</f>
        <v>514</v>
      </c>
      <c r="M193" s="5">
        <f t="shared" si="10"/>
        <v>-82</v>
      </c>
      <c r="N193" s="5">
        <f>M194-Table1[[#This Row],[Net_Daily_Intake]]</f>
        <v>8</v>
      </c>
      <c r="O193" s="5">
        <f>M194-Table1[[#This Row],[Net_Daily_Intake]]/Table1[[#This Row],[Net_Daily_Intake]]</f>
        <v>-75</v>
      </c>
      <c r="P193" t="str">
        <f>IF(Table1[[#This Row],[Change_in_Net_Daily_Intake]]&gt;0,"Sustained Positive","Negative")</f>
        <v>Sustained Positive</v>
      </c>
      <c r="Q193" s="1">
        <f>(Table1[[#This Row],[Total_System_Load]]-Table1[[#This Row],[Total_Children_Under_Care]])/Table1[[#This Row],[Total_Children_Under_Care]]*100</f>
        <v>5.7295730687771709</v>
      </c>
      <c r="R193" s="1">
        <f>(Table1[[#This Row],[Children_discharged _from_HHS_ Care]]/Table1[[#This Row],[Children_transferred_out_of_CBP_custody]])</f>
        <v>1.4162436548223349</v>
      </c>
    </row>
    <row r="194" spans="1:18" x14ac:dyDescent="0.3">
      <c r="A194">
        <v>193</v>
      </c>
      <c r="B194" s="7">
        <v>45232</v>
      </c>
      <c r="C194" s="5">
        <v>174</v>
      </c>
      <c r="D194" s="5">
        <v>208</v>
      </c>
      <c r="E194" s="5">
        <v>256</v>
      </c>
      <c r="F194" s="5">
        <v>9442</v>
      </c>
      <c r="G194" s="5">
        <v>330</v>
      </c>
      <c r="H194" t="str">
        <f t="shared" si="11"/>
        <v>Invalid</v>
      </c>
      <c r="I194" t="str">
        <f t="shared" si="12"/>
        <v>Valid</v>
      </c>
      <c r="J194" s="5">
        <f t="shared" si="13"/>
        <v>9112</v>
      </c>
      <c r="K194" s="5">
        <f t="shared" si="14"/>
        <v>9650</v>
      </c>
      <c r="L194" s="5">
        <f>IF(Table1[[#This Row],[Total_System_Load]]&gt;80%*AVERAGE(Table1[Total_System_Load]),Table1[[#This Row],[Total_System_Load]]-Table1[[#This Row],[Total_Children_Under_Care]],0)</f>
        <v>538</v>
      </c>
      <c r="M194" s="5">
        <f t="shared" ref="M194:M257" si="15">E194-G194</f>
        <v>-74</v>
      </c>
      <c r="N194" s="5">
        <f>M195-Table1[[#This Row],[Net_Daily_Intake]]</f>
        <v>-129</v>
      </c>
      <c r="O194" s="5">
        <f>M195-Table1[[#This Row],[Net_Daily_Intake]]/Table1[[#This Row],[Net_Daily_Intake]]</f>
        <v>-204</v>
      </c>
      <c r="P194" t="str">
        <f>IF(Table1[[#This Row],[Change_in_Net_Daily_Intake]]&gt;0,"Sustained Positive","Negative")</f>
        <v>Negative</v>
      </c>
      <c r="Q194" s="1">
        <f>(Table1[[#This Row],[Total_System_Load]]-Table1[[#This Row],[Total_Children_Under_Care]])/Table1[[#This Row],[Total_Children_Under_Care]]*100</f>
        <v>5.9043020193151889</v>
      </c>
      <c r="R194" s="1">
        <f>(Table1[[#This Row],[Children_discharged _from_HHS_ Care]]/Table1[[#This Row],[Children_transferred_out_of_CBP_custody]])</f>
        <v>1.2890625</v>
      </c>
    </row>
    <row r="195" spans="1:18" x14ac:dyDescent="0.3">
      <c r="A195">
        <v>194</v>
      </c>
      <c r="B195" s="7">
        <v>45235</v>
      </c>
      <c r="C195" s="5">
        <v>123</v>
      </c>
      <c r="D195" s="5">
        <v>230</v>
      </c>
      <c r="E195" s="5">
        <v>167</v>
      </c>
      <c r="F195" s="5">
        <v>9273</v>
      </c>
      <c r="G195" s="5">
        <v>370</v>
      </c>
      <c r="H195" t="str">
        <f t="shared" ref="H195:H258" si="16">IF(E195&lt;=D195,"Valid","Invalid")</f>
        <v>Valid</v>
      </c>
      <c r="I195" t="str">
        <f t="shared" ref="I195:I258" si="17">IF(G195&lt;=F195,"Valid","Invalid")</f>
        <v>Valid</v>
      </c>
      <c r="J195" s="5">
        <f t="shared" ref="J195:J258" si="18">F195-G195</f>
        <v>8903</v>
      </c>
      <c r="K195" s="5">
        <f t="shared" ref="K195:K258" si="19">D195+F195</f>
        <v>9503</v>
      </c>
      <c r="L195" s="5">
        <f>IF(Table1[[#This Row],[Total_System_Load]]&gt;80%*AVERAGE(Table1[Total_System_Load]),Table1[[#This Row],[Total_System_Load]]-Table1[[#This Row],[Total_Children_Under_Care]],0)</f>
        <v>600</v>
      </c>
      <c r="M195" s="5">
        <f t="shared" si="15"/>
        <v>-203</v>
      </c>
      <c r="N195" s="5">
        <f>M196-Table1[[#This Row],[Net_Daily_Intake]]</f>
        <v>46</v>
      </c>
      <c r="O195" s="5">
        <f>M196-Table1[[#This Row],[Net_Daily_Intake]]/Table1[[#This Row],[Net_Daily_Intake]]</f>
        <v>-158</v>
      </c>
      <c r="P195" t="str">
        <f>IF(Table1[[#This Row],[Change_in_Net_Daily_Intake]]&gt;0,"Sustained Positive","Negative")</f>
        <v>Sustained Positive</v>
      </c>
      <c r="Q195" s="1">
        <f>(Table1[[#This Row],[Total_System_Load]]-Table1[[#This Row],[Total_Children_Under_Care]])/Table1[[#This Row],[Total_Children_Under_Care]]*100</f>
        <v>6.7393013590924404</v>
      </c>
      <c r="R195" s="1">
        <f>(Table1[[#This Row],[Children_discharged _from_HHS_ Care]]/Table1[[#This Row],[Children_transferred_out_of_CBP_custody]])</f>
        <v>2.215568862275449</v>
      </c>
    </row>
    <row r="196" spans="1:18" x14ac:dyDescent="0.3">
      <c r="A196">
        <v>195</v>
      </c>
      <c r="B196" s="7">
        <v>45236</v>
      </c>
      <c r="C196" s="5">
        <v>123</v>
      </c>
      <c r="D196" s="5">
        <v>233</v>
      </c>
      <c r="E196" s="5">
        <v>159</v>
      </c>
      <c r="F196" s="5">
        <v>9286</v>
      </c>
      <c r="G196" s="5">
        <v>316</v>
      </c>
      <c r="H196" t="str">
        <f t="shared" si="16"/>
        <v>Valid</v>
      </c>
      <c r="I196" t="str">
        <f t="shared" si="17"/>
        <v>Valid</v>
      </c>
      <c r="J196" s="5">
        <f t="shared" si="18"/>
        <v>8970</v>
      </c>
      <c r="K196" s="5">
        <f t="shared" si="19"/>
        <v>9519</v>
      </c>
      <c r="L196" s="5">
        <f>IF(Table1[[#This Row],[Total_System_Load]]&gt;80%*AVERAGE(Table1[Total_System_Load]),Table1[[#This Row],[Total_System_Load]]-Table1[[#This Row],[Total_Children_Under_Care]],0)</f>
        <v>549</v>
      </c>
      <c r="M196" s="5">
        <f t="shared" si="15"/>
        <v>-157</v>
      </c>
      <c r="N196" s="5">
        <f>M197-Table1[[#This Row],[Net_Daily_Intake]]</f>
        <v>114</v>
      </c>
      <c r="O196" s="5">
        <f>M197-Table1[[#This Row],[Net_Daily_Intake]]/Table1[[#This Row],[Net_Daily_Intake]]</f>
        <v>-44</v>
      </c>
      <c r="P196" t="str">
        <f>IF(Table1[[#This Row],[Change_in_Net_Daily_Intake]]&gt;0,"Sustained Positive","Negative")</f>
        <v>Sustained Positive</v>
      </c>
      <c r="Q196" s="1">
        <f>(Table1[[#This Row],[Total_System_Load]]-Table1[[#This Row],[Total_Children_Under_Care]])/Table1[[#This Row],[Total_Children_Under_Care]]*100</f>
        <v>6.1204013377926421</v>
      </c>
      <c r="R196" s="1">
        <f>(Table1[[#This Row],[Children_discharged _from_HHS_ Care]]/Table1[[#This Row],[Children_transferred_out_of_CBP_custody]])</f>
        <v>1.9874213836477987</v>
      </c>
    </row>
    <row r="197" spans="1:18" x14ac:dyDescent="0.3">
      <c r="A197">
        <v>196</v>
      </c>
      <c r="B197" s="7">
        <v>45237</v>
      </c>
      <c r="C197" s="5">
        <v>141</v>
      </c>
      <c r="D197" s="5">
        <v>232</v>
      </c>
      <c r="E197" s="5">
        <v>188</v>
      </c>
      <c r="F197" s="5">
        <v>9483</v>
      </c>
      <c r="G197" s="5">
        <v>231</v>
      </c>
      <c r="H197" t="str">
        <f t="shared" si="16"/>
        <v>Valid</v>
      </c>
      <c r="I197" t="str">
        <f t="shared" si="17"/>
        <v>Valid</v>
      </c>
      <c r="J197" s="5">
        <f t="shared" si="18"/>
        <v>9252</v>
      </c>
      <c r="K197" s="5">
        <f t="shared" si="19"/>
        <v>9715</v>
      </c>
      <c r="L197" s="5">
        <f>IF(Table1[[#This Row],[Total_System_Load]]&gt;80%*AVERAGE(Table1[Total_System_Load]),Table1[[#This Row],[Total_System_Load]]-Table1[[#This Row],[Total_Children_Under_Care]],0)</f>
        <v>463</v>
      </c>
      <c r="M197" s="5">
        <f t="shared" si="15"/>
        <v>-43</v>
      </c>
      <c r="N197" s="5">
        <f>M198-Table1[[#This Row],[Net_Daily_Intake]]</f>
        <v>-76</v>
      </c>
      <c r="O197" s="5">
        <f>M198-Table1[[#This Row],[Net_Daily_Intake]]/Table1[[#This Row],[Net_Daily_Intake]]</f>
        <v>-120</v>
      </c>
      <c r="P197" t="str">
        <f>IF(Table1[[#This Row],[Change_in_Net_Daily_Intake]]&gt;0,"Sustained Positive","Negative")</f>
        <v>Negative</v>
      </c>
      <c r="Q197" s="1">
        <f>(Table1[[#This Row],[Total_System_Load]]-Table1[[#This Row],[Total_Children_Under_Care]])/Table1[[#This Row],[Total_Children_Under_Care]]*100</f>
        <v>5.0043233895373973</v>
      </c>
      <c r="R197" s="1">
        <f>(Table1[[#This Row],[Children_discharged _from_HHS_ Care]]/Table1[[#This Row],[Children_transferred_out_of_CBP_custody]])</f>
        <v>1.2287234042553192</v>
      </c>
    </row>
    <row r="198" spans="1:18" x14ac:dyDescent="0.3">
      <c r="A198">
        <v>197</v>
      </c>
      <c r="B198" s="7">
        <v>45238</v>
      </c>
      <c r="C198" s="5">
        <v>158</v>
      </c>
      <c r="D198" s="5">
        <v>226</v>
      </c>
      <c r="E198" s="5">
        <v>191</v>
      </c>
      <c r="F198" s="5">
        <v>9634</v>
      </c>
      <c r="G198" s="5">
        <v>310</v>
      </c>
      <c r="H198" t="str">
        <f t="shared" si="16"/>
        <v>Valid</v>
      </c>
      <c r="I198" t="str">
        <f t="shared" si="17"/>
        <v>Valid</v>
      </c>
      <c r="J198" s="5">
        <f t="shared" si="18"/>
        <v>9324</v>
      </c>
      <c r="K198" s="5">
        <f t="shared" si="19"/>
        <v>9860</v>
      </c>
      <c r="L198" s="5">
        <f>IF(Table1[[#This Row],[Total_System_Load]]&gt;80%*AVERAGE(Table1[Total_System_Load]),Table1[[#This Row],[Total_System_Load]]-Table1[[#This Row],[Total_Children_Under_Care]],0)</f>
        <v>536</v>
      </c>
      <c r="M198" s="5">
        <f t="shared" si="15"/>
        <v>-119</v>
      </c>
      <c r="N198" s="5">
        <f>M199-Table1[[#This Row],[Net_Daily_Intake]]</f>
        <v>39</v>
      </c>
      <c r="O198" s="5">
        <f>M199-Table1[[#This Row],[Net_Daily_Intake]]/Table1[[#This Row],[Net_Daily_Intake]]</f>
        <v>-81</v>
      </c>
      <c r="P198" t="str">
        <f>IF(Table1[[#This Row],[Change_in_Net_Daily_Intake]]&gt;0,"Sustained Positive","Negative")</f>
        <v>Sustained Positive</v>
      </c>
      <c r="Q198" s="1">
        <f>(Table1[[#This Row],[Total_System_Load]]-Table1[[#This Row],[Total_Children_Under_Care]])/Table1[[#This Row],[Total_Children_Under_Care]]*100</f>
        <v>5.7486057486057485</v>
      </c>
      <c r="R198" s="1">
        <f>(Table1[[#This Row],[Children_discharged _from_HHS_ Care]]/Table1[[#This Row],[Children_transferred_out_of_CBP_custody]])</f>
        <v>1.6230366492146597</v>
      </c>
    </row>
    <row r="199" spans="1:18" x14ac:dyDescent="0.3">
      <c r="A199">
        <v>198</v>
      </c>
      <c r="B199" s="7">
        <v>45242</v>
      </c>
      <c r="C199" s="5">
        <v>96</v>
      </c>
      <c r="D199" s="5">
        <v>160</v>
      </c>
      <c r="E199" s="5">
        <v>233</v>
      </c>
      <c r="F199" s="5">
        <v>9477</v>
      </c>
      <c r="G199" s="5">
        <v>313</v>
      </c>
      <c r="H199" t="str">
        <f t="shared" si="16"/>
        <v>Invalid</v>
      </c>
      <c r="I199" t="str">
        <f t="shared" si="17"/>
        <v>Valid</v>
      </c>
      <c r="J199" s="5">
        <f t="shared" si="18"/>
        <v>9164</v>
      </c>
      <c r="K199" s="5">
        <f t="shared" si="19"/>
        <v>9637</v>
      </c>
      <c r="L199" s="5">
        <f>IF(Table1[[#This Row],[Total_System_Load]]&gt;80%*AVERAGE(Table1[Total_System_Load]),Table1[[#This Row],[Total_System_Load]]-Table1[[#This Row],[Total_Children_Under_Care]],0)</f>
        <v>473</v>
      </c>
      <c r="M199" s="5">
        <f t="shared" si="15"/>
        <v>-80</v>
      </c>
      <c r="N199" s="5">
        <f>M200-Table1[[#This Row],[Net_Daily_Intake]]</f>
        <v>-78</v>
      </c>
      <c r="O199" s="5">
        <f>M200-Table1[[#This Row],[Net_Daily_Intake]]/Table1[[#This Row],[Net_Daily_Intake]]</f>
        <v>-159</v>
      </c>
      <c r="P199" t="str">
        <f>IF(Table1[[#This Row],[Change_in_Net_Daily_Intake]]&gt;0,"Sustained Positive","Negative")</f>
        <v>Negative</v>
      </c>
      <c r="Q199" s="1">
        <f>(Table1[[#This Row],[Total_System_Load]]-Table1[[#This Row],[Total_Children_Under_Care]])/Table1[[#This Row],[Total_Children_Under_Care]]*100</f>
        <v>5.1615015277171539</v>
      </c>
      <c r="R199" s="1">
        <f>(Table1[[#This Row],[Children_discharged _from_HHS_ Care]]/Table1[[#This Row],[Children_transferred_out_of_CBP_custody]])</f>
        <v>1.3433476394849786</v>
      </c>
    </row>
    <row r="200" spans="1:18" x14ac:dyDescent="0.3">
      <c r="A200">
        <v>199</v>
      </c>
      <c r="B200" s="7">
        <v>45243</v>
      </c>
      <c r="C200" s="5">
        <v>141</v>
      </c>
      <c r="D200" s="5">
        <v>173</v>
      </c>
      <c r="E200" s="5">
        <v>129</v>
      </c>
      <c r="F200" s="5">
        <v>9510</v>
      </c>
      <c r="G200" s="5">
        <v>287</v>
      </c>
      <c r="H200" t="str">
        <f t="shared" si="16"/>
        <v>Valid</v>
      </c>
      <c r="I200" t="str">
        <f t="shared" si="17"/>
        <v>Valid</v>
      </c>
      <c r="J200" s="5">
        <f t="shared" si="18"/>
        <v>9223</v>
      </c>
      <c r="K200" s="5">
        <f t="shared" si="19"/>
        <v>9683</v>
      </c>
      <c r="L200" s="5">
        <f>IF(Table1[[#This Row],[Total_System_Load]]&gt;80%*AVERAGE(Table1[Total_System_Load]),Table1[[#This Row],[Total_System_Load]]-Table1[[#This Row],[Total_Children_Under_Care]],0)</f>
        <v>460</v>
      </c>
      <c r="M200" s="5">
        <f t="shared" si="15"/>
        <v>-158</v>
      </c>
      <c r="N200" s="5">
        <f>M201-Table1[[#This Row],[Net_Daily_Intake]]</f>
        <v>93</v>
      </c>
      <c r="O200" s="5">
        <f>M201-Table1[[#This Row],[Net_Daily_Intake]]/Table1[[#This Row],[Net_Daily_Intake]]</f>
        <v>-66</v>
      </c>
      <c r="P200" t="str">
        <f>IF(Table1[[#This Row],[Change_in_Net_Daily_Intake]]&gt;0,"Sustained Positive","Negative")</f>
        <v>Sustained Positive</v>
      </c>
      <c r="Q200" s="1">
        <f>(Table1[[#This Row],[Total_System_Load]]-Table1[[#This Row],[Total_Children_Under_Care]])/Table1[[#This Row],[Total_Children_Under_Care]]*100</f>
        <v>4.9875311720698257</v>
      </c>
      <c r="R200" s="1">
        <f>(Table1[[#This Row],[Children_discharged _from_HHS_ Care]]/Table1[[#This Row],[Children_transferred_out_of_CBP_custody]])</f>
        <v>2.2248062015503876</v>
      </c>
    </row>
    <row r="201" spans="1:18" x14ac:dyDescent="0.3">
      <c r="A201">
        <v>200</v>
      </c>
      <c r="B201" s="7">
        <v>45244</v>
      </c>
      <c r="C201" s="5">
        <v>116</v>
      </c>
      <c r="D201" s="5">
        <v>181</v>
      </c>
      <c r="E201" s="5">
        <v>182</v>
      </c>
      <c r="F201" s="5">
        <v>9665</v>
      </c>
      <c r="G201" s="5">
        <v>247</v>
      </c>
      <c r="H201" t="str">
        <f t="shared" si="16"/>
        <v>Invalid</v>
      </c>
      <c r="I201" t="str">
        <f t="shared" si="17"/>
        <v>Valid</v>
      </c>
      <c r="J201" s="5">
        <f t="shared" si="18"/>
        <v>9418</v>
      </c>
      <c r="K201" s="5">
        <f t="shared" si="19"/>
        <v>9846</v>
      </c>
      <c r="L201" s="5">
        <f>IF(Table1[[#This Row],[Total_System_Load]]&gt;80%*AVERAGE(Table1[Total_System_Load]),Table1[[#This Row],[Total_System_Load]]-Table1[[#This Row],[Total_Children_Under_Care]],0)</f>
        <v>428</v>
      </c>
      <c r="M201" s="5">
        <f t="shared" si="15"/>
        <v>-65</v>
      </c>
      <c r="N201" s="5">
        <f>M202-Table1[[#This Row],[Net_Daily_Intake]]</f>
        <v>-50</v>
      </c>
      <c r="O201" s="5">
        <f>M202-Table1[[#This Row],[Net_Daily_Intake]]/Table1[[#This Row],[Net_Daily_Intake]]</f>
        <v>-116</v>
      </c>
      <c r="P201" t="str">
        <f>IF(Table1[[#This Row],[Change_in_Net_Daily_Intake]]&gt;0,"Sustained Positive","Negative")</f>
        <v>Negative</v>
      </c>
      <c r="Q201" s="1">
        <f>(Table1[[#This Row],[Total_System_Load]]-Table1[[#This Row],[Total_Children_Under_Care]])/Table1[[#This Row],[Total_Children_Under_Care]]*100</f>
        <v>4.5444892758547457</v>
      </c>
      <c r="R201" s="1">
        <f>(Table1[[#This Row],[Children_discharged _from_HHS_ Care]]/Table1[[#This Row],[Children_transferred_out_of_CBP_custody]])</f>
        <v>1.3571428571428572</v>
      </c>
    </row>
    <row r="202" spans="1:18" x14ac:dyDescent="0.3">
      <c r="A202">
        <v>201</v>
      </c>
      <c r="B202" s="7">
        <v>45245</v>
      </c>
      <c r="C202" s="5">
        <v>150</v>
      </c>
      <c r="D202" s="5">
        <v>157</v>
      </c>
      <c r="E202" s="5">
        <v>201</v>
      </c>
      <c r="F202" s="5">
        <v>9762</v>
      </c>
      <c r="G202" s="5">
        <v>316</v>
      </c>
      <c r="H202" t="str">
        <f t="shared" si="16"/>
        <v>Invalid</v>
      </c>
      <c r="I202" t="str">
        <f t="shared" si="17"/>
        <v>Valid</v>
      </c>
      <c r="J202" s="5">
        <f t="shared" si="18"/>
        <v>9446</v>
      </c>
      <c r="K202" s="5">
        <f t="shared" si="19"/>
        <v>9919</v>
      </c>
      <c r="L202" s="5">
        <f>IF(Table1[[#This Row],[Total_System_Load]]&gt;80%*AVERAGE(Table1[Total_System_Load]),Table1[[#This Row],[Total_System_Load]]-Table1[[#This Row],[Total_Children_Under_Care]],0)</f>
        <v>473</v>
      </c>
      <c r="M202" s="5">
        <f t="shared" si="15"/>
        <v>-115</v>
      </c>
      <c r="N202" s="5">
        <f>M203-Table1[[#This Row],[Net_Daily_Intake]]</f>
        <v>-134</v>
      </c>
      <c r="O202" s="5">
        <f>M203-Table1[[#This Row],[Net_Daily_Intake]]/Table1[[#This Row],[Net_Daily_Intake]]</f>
        <v>-250</v>
      </c>
      <c r="P202" t="str">
        <f>IF(Table1[[#This Row],[Change_in_Net_Daily_Intake]]&gt;0,"Sustained Positive","Negative")</f>
        <v>Negative</v>
      </c>
      <c r="Q202" s="1">
        <f>(Table1[[#This Row],[Total_System_Load]]-Table1[[#This Row],[Total_Children_Under_Care]])/Table1[[#This Row],[Total_Children_Under_Care]]*100</f>
        <v>5.00741054414567</v>
      </c>
      <c r="R202" s="1">
        <f>(Table1[[#This Row],[Children_discharged _from_HHS_ Care]]/Table1[[#This Row],[Children_transferred_out_of_CBP_custody]])</f>
        <v>1.572139303482587</v>
      </c>
    </row>
    <row r="203" spans="1:18" x14ac:dyDescent="0.3">
      <c r="A203">
        <v>202</v>
      </c>
      <c r="B203" s="7">
        <v>45246</v>
      </c>
      <c r="C203" s="5">
        <v>80</v>
      </c>
      <c r="D203" s="5">
        <v>176</v>
      </c>
      <c r="E203" s="5">
        <v>125</v>
      </c>
      <c r="F203" s="5">
        <v>9762</v>
      </c>
      <c r="G203" s="5">
        <v>374</v>
      </c>
      <c r="H203" t="str">
        <f t="shared" si="16"/>
        <v>Valid</v>
      </c>
      <c r="I203" t="str">
        <f t="shared" si="17"/>
        <v>Valid</v>
      </c>
      <c r="J203" s="5">
        <f t="shared" si="18"/>
        <v>9388</v>
      </c>
      <c r="K203" s="5">
        <f t="shared" si="19"/>
        <v>9938</v>
      </c>
      <c r="L203" s="5">
        <f>IF(Table1[[#This Row],[Total_System_Load]]&gt;80%*AVERAGE(Table1[Total_System_Load]),Table1[[#This Row],[Total_System_Load]]-Table1[[#This Row],[Total_Children_Under_Care]],0)</f>
        <v>550</v>
      </c>
      <c r="M203" s="5">
        <f t="shared" si="15"/>
        <v>-249</v>
      </c>
      <c r="N203" s="5">
        <f>M204-Table1[[#This Row],[Net_Daily_Intake]]</f>
        <v>-22</v>
      </c>
      <c r="O203" s="5">
        <f>M204-Table1[[#This Row],[Net_Daily_Intake]]/Table1[[#This Row],[Net_Daily_Intake]]</f>
        <v>-272</v>
      </c>
      <c r="P203" t="str">
        <f>IF(Table1[[#This Row],[Change_in_Net_Daily_Intake]]&gt;0,"Sustained Positive","Negative")</f>
        <v>Negative</v>
      </c>
      <c r="Q203" s="1">
        <f>(Table1[[#This Row],[Total_System_Load]]-Table1[[#This Row],[Total_Children_Under_Care]])/Table1[[#This Row],[Total_Children_Under_Care]]*100</f>
        <v>5.8585428206220707</v>
      </c>
      <c r="R203" s="1">
        <f>(Table1[[#This Row],[Children_discharged _from_HHS_ Care]]/Table1[[#This Row],[Children_transferred_out_of_CBP_custody]])</f>
        <v>2.992</v>
      </c>
    </row>
    <row r="204" spans="1:18" x14ac:dyDescent="0.3">
      <c r="A204">
        <v>203</v>
      </c>
      <c r="B204" s="7">
        <v>45249</v>
      </c>
      <c r="C204" s="5">
        <v>116</v>
      </c>
      <c r="D204" s="5">
        <v>188</v>
      </c>
      <c r="E204" s="5">
        <v>164</v>
      </c>
      <c r="F204" s="5">
        <v>9573</v>
      </c>
      <c r="G204" s="5">
        <v>435</v>
      </c>
      <c r="H204" t="str">
        <f t="shared" si="16"/>
        <v>Valid</v>
      </c>
      <c r="I204" t="str">
        <f t="shared" si="17"/>
        <v>Valid</v>
      </c>
      <c r="J204" s="5">
        <f t="shared" si="18"/>
        <v>9138</v>
      </c>
      <c r="K204" s="5">
        <f t="shared" si="19"/>
        <v>9761</v>
      </c>
      <c r="L204" s="5">
        <f>IF(Table1[[#This Row],[Total_System_Load]]&gt;80%*AVERAGE(Table1[Total_System_Load]),Table1[[#This Row],[Total_System_Load]]-Table1[[#This Row],[Total_Children_Under_Care]],0)</f>
        <v>623</v>
      </c>
      <c r="M204" s="5">
        <f t="shared" si="15"/>
        <v>-271</v>
      </c>
      <c r="N204" s="5">
        <f>M205-Table1[[#This Row],[Net_Daily_Intake]]</f>
        <v>131</v>
      </c>
      <c r="O204" s="5">
        <f>M205-Table1[[#This Row],[Net_Daily_Intake]]/Table1[[#This Row],[Net_Daily_Intake]]</f>
        <v>-141</v>
      </c>
      <c r="P204" t="str">
        <f>IF(Table1[[#This Row],[Change_in_Net_Daily_Intake]]&gt;0,"Sustained Positive","Negative")</f>
        <v>Sustained Positive</v>
      </c>
      <c r="Q204" s="1">
        <f>(Table1[[#This Row],[Total_System_Load]]-Table1[[#This Row],[Total_Children_Under_Care]])/Table1[[#This Row],[Total_Children_Under_Care]]*100</f>
        <v>6.817684394834755</v>
      </c>
      <c r="R204" s="1">
        <f>(Table1[[#This Row],[Children_discharged _from_HHS_ Care]]/Table1[[#This Row],[Children_transferred_out_of_CBP_custody]])</f>
        <v>2.6524390243902438</v>
      </c>
    </row>
    <row r="205" spans="1:18" x14ac:dyDescent="0.3">
      <c r="A205">
        <v>204</v>
      </c>
      <c r="B205" s="7">
        <v>45250</v>
      </c>
      <c r="C205" s="5">
        <v>105</v>
      </c>
      <c r="D205" s="5">
        <v>185</v>
      </c>
      <c r="E205" s="5">
        <v>158</v>
      </c>
      <c r="F205" s="5">
        <v>9638</v>
      </c>
      <c r="G205" s="5">
        <v>298</v>
      </c>
      <c r="H205" t="str">
        <f t="shared" si="16"/>
        <v>Valid</v>
      </c>
      <c r="I205" t="str">
        <f t="shared" si="17"/>
        <v>Valid</v>
      </c>
      <c r="J205" s="5">
        <f t="shared" si="18"/>
        <v>9340</v>
      </c>
      <c r="K205" s="5">
        <f t="shared" si="19"/>
        <v>9823</v>
      </c>
      <c r="L205" s="5">
        <f>IF(Table1[[#This Row],[Total_System_Load]]&gt;80%*AVERAGE(Table1[Total_System_Load]),Table1[[#This Row],[Total_System_Load]]-Table1[[#This Row],[Total_Children_Under_Care]],0)</f>
        <v>483</v>
      </c>
      <c r="M205" s="5">
        <f t="shared" si="15"/>
        <v>-140</v>
      </c>
      <c r="N205" s="5">
        <f>M206-Table1[[#This Row],[Net_Daily_Intake]]</f>
        <v>13</v>
      </c>
      <c r="O205" s="5">
        <f>M206-Table1[[#This Row],[Net_Daily_Intake]]/Table1[[#This Row],[Net_Daily_Intake]]</f>
        <v>-128</v>
      </c>
      <c r="P205" t="str">
        <f>IF(Table1[[#This Row],[Change_in_Net_Daily_Intake]]&gt;0,"Sustained Positive","Negative")</f>
        <v>Sustained Positive</v>
      </c>
      <c r="Q205" s="1">
        <f>(Table1[[#This Row],[Total_System_Load]]-Table1[[#This Row],[Total_Children_Under_Care]])/Table1[[#This Row],[Total_Children_Under_Care]]*100</f>
        <v>5.1713062098501075</v>
      </c>
      <c r="R205" s="1">
        <f>(Table1[[#This Row],[Children_discharged _from_HHS_ Care]]/Table1[[#This Row],[Children_transferred_out_of_CBP_custody]])</f>
        <v>1.8860759493670887</v>
      </c>
    </row>
    <row r="206" spans="1:18" x14ac:dyDescent="0.3">
      <c r="A206">
        <v>205</v>
      </c>
      <c r="B206" s="7">
        <v>45251</v>
      </c>
      <c r="C206" s="5">
        <v>136</v>
      </c>
      <c r="D206" s="5">
        <v>246</v>
      </c>
      <c r="E206" s="5">
        <v>123</v>
      </c>
      <c r="F206" s="5">
        <v>9804</v>
      </c>
      <c r="G206" s="5">
        <v>250</v>
      </c>
      <c r="H206" t="str">
        <f t="shared" si="16"/>
        <v>Valid</v>
      </c>
      <c r="I206" t="str">
        <f t="shared" si="17"/>
        <v>Valid</v>
      </c>
      <c r="J206" s="5">
        <f t="shared" si="18"/>
        <v>9554</v>
      </c>
      <c r="K206" s="5">
        <f t="shared" si="19"/>
        <v>10050</v>
      </c>
      <c r="L206" s="5">
        <f>IF(Table1[[#This Row],[Total_System_Load]]&gt;80%*AVERAGE(Table1[Total_System_Load]),Table1[[#This Row],[Total_System_Load]]-Table1[[#This Row],[Total_Children_Under_Care]],0)</f>
        <v>496</v>
      </c>
      <c r="M206" s="5">
        <f t="shared" si="15"/>
        <v>-127</v>
      </c>
      <c r="N206" s="5">
        <f>M207-Table1[[#This Row],[Net_Daily_Intake]]</f>
        <v>21</v>
      </c>
      <c r="O206" s="5">
        <f>M207-Table1[[#This Row],[Net_Daily_Intake]]/Table1[[#This Row],[Net_Daily_Intake]]</f>
        <v>-107</v>
      </c>
      <c r="P206" t="str">
        <f>IF(Table1[[#This Row],[Change_in_Net_Daily_Intake]]&gt;0,"Sustained Positive","Negative")</f>
        <v>Sustained Positive</v>
      </c>
      <c r="Q206" s="1">
        <f>(Table1[[#This Row],[Total_System_Load]]-Table1[[#This Row],[Total_Children_Under_Care]])/Table1[[#This Row],[Total_Children_Under_Care]]*100</f>
        <v>5.1915428092945364</v>
      </c>
      <c r="R206" s="1">
        <f>(Table1[[#This Row],[Children_discharged _from_HHS_ Care]]/Table1[[#This Row],[Children_transferred_out_of_CBP_custody]])</f>
        <v>2.0325203252032522</v>
      </c>
    </row>
    <row r="207" spans="1:18" x14ac:dyDescent="0.3">
      <c r="A207">
        <v>206</v>
      </c>
      <c r="B207" s="7">
        <v>45253</v>
      </c>
      <c r="C207" s="5">
        <v>128</v>
      </c>
      <c r="D207" s="5">
        <v>228</v>
      </c>
      <c r="E207" s="5">
        <v>177</v>
      </c>
      <c r="F207" s="5">
        <v>9838</v>
      </c>
      <c r="G207" s="5">
        <v>283</v>
      </c>
      <c r="H207" t="str">
        <f t="shared" si="16"/>
        <v>Valid</v>
      </c>
      <c r="I207" t="str">
        <f t="shared" si="17"/>
        <v>Valid</v>
      </c>
      <c r="J207" s="5">
        <f t="shared" si="18"/>
        <v>9555</v>
      </c>
      <c r="K207" s="5">
        <f t="shared" si="19"/>
        <v>10066</v>
      </c>
      <c r="L207" s="5">
        <f>IF(Table1[[#This Row],[Total_System_Load]]&gt;80%*AVERAGE(Table1[Total_System_Load]),Table1[[#This Row],[Total_System_Load]]-Table1[[#This Row],[Total_Children_Under_Care]],0)</f>
        <v>511</v>
      </c>
      <c r="M207" s="5">
        <f t="shared" si="15"/>
        <v>-106</v>
      </c>
      <c r="N207" s="5">
        <f>M208-Table1[[#This Row],[Net_Daily_Intake]]</f>
        <v>-1</v>
      </c>
      <c r="O207" s="5">
        <f>M208-Table1[[#This Row],[Net_Daily_Intake]]/Table1[[#This Row],[Net_Daily_Intake]]</f>
        <v>-108</v>
      </c>
      <c r="P207" t="str">
        <f>IF(Table1[[#This Row],[Change_in_Net_Daily_Intake]]&gt;0,"Sustained Positive","Negative")</f>
        <v>Negative</v>
      </c>
      <c r="Q207" s="1">
        <f>(Table1[[#This Row],[Total_System_Load]]-Table1[[#This Row],[Total_Children_Under_Care]])/Table1[[#This Row],[Total_Children_Under_Care]]*100</f>
        <v>5.3479853479853476</v>
      </c>
      <c r="R207" s="1">
        <f>(Table1[[#This Row],[Children_discharged _from_HHS_ Care]]/Table1[[#This Row],[Children_transferred_out_of_CBP_custody]])</f>
        <v>1.5988700564971752</v>
      </c>
    </row>
    <row r="208" spans="1:18" x14ac:dyDescent="0.3">
      <c r="A208">
        <v>207</v>
      </c>
      <c r="B208" s="7">
        <v>45256</v>
      </c>
      <c r="C208" s="5">
        <v>90</v>
      </c>
      <c r="D208" s="5">
        <v>196</v>
      </c>
      <c r="E208" s="5">
        <v>205</v>
      </c>
      <c r="F208" s="5">
        <v>9845</v>
      </c>
      <c r="G208" s="5">
        <v>312</v>
      </c>
      <c r="H208" t="str">
        <f t="shared" si="16"/>
        <v>Invalid</v>
      </c>
      <c r="I208" t="str">
        <f t="shared" si="17"/>
        <v>Valid</v>
      </c>
      <c r="J208" s="5">
        <f t="shared" si="18"/>
        <v>9533</v>
      </c>
      <c r="K208" s="5">
        <f t="shared" si="19"/>
        <v>10041</v>
      </c>
      <c r="L208" s="5">
        <f>IF(Table1[[#This Row],[Total_System_Load]]&gt;80%*AVERAGE(Table1[Total_System_Load]),Table1[[#This Row],[Total_System_Load]]-Table1[[#This Row],[Total_Children_Under_Care]],0)</f>
        <v>508</v>
      </c>
      <c r="M208" s="5">
        <f t="shared" si="15"/>
        <v>-107</v>
      </c>
      <c r="N208" s="5">
        <f>M209-Table1[[#This Row],[Net_Daily_Intake]]</f>
        <v>-39</v>
      </c>
      <c r="O208" s="5">
        <f>M209-Table1[[#This Row],[Net_Daily_Intake]]/Table1[[#This Row],[Net_Daily_Intake]]</f>
        <v>-147</v>
      </c>
      <c r="P208" t="str">
        <f>IF(Table1[[#This Row],[Change_in_Net_Daily_Intake]]&gt;0,"Sustained Positive","Negative")</f>
        <v>Negative</v>
      </c>
      <c r="Q208" s="1">
        <f>(Table1[[#This Row],[Total_System_Load]]-Table1[[#This Row],[Total_Children_Under_Care]])/Table1[[#This Row],[Total_Children_Under_Care]]*100</f>
        <v>5.3288576523654676</v>
      </c>
      <c r="R208" s="1">
        <f>(Table1[[#This Row],[Children_discharged _from_HHS_ Care]]/Table1[[#This Row],[Children_transferred_out_of_CBP_custody]])</f>
        <v>1.5219512195121951</v>
      </c>
    </row>
    <row r="209" spans="1:18" x14ac:dyDescent="0.3">
      <c r="A209">
        <v>208</v>
      </c>
      <c r="B209" s="7">
        <v>45257</v>
      </c>
      <c r="C209" s="5">
        <v>56</v>
      </c>
      <c r="D209" s="5">
        <v>82</v>
      </c>
      <c r="E209" s="5">
        <v>68</v>
      </c>
      <c r="F209" s="5">
        <v>10123</v>
      </c>
      <c r="G209" s="5">
        <v>214</v>
      </c>
      <c r="H209" t="str">
        <f t="shared" si="16"/>
        <v>Valid</v>
      </c>
      <c r="I209" t="str">
        <f t="shared" si="17"/>
        <v>Valid</v>
      </c>
      <c r="J209" s="5">
        <f t="shared" si="18"/>
        <v>9909</v>
      </c>
      <c r="K209" s="5">
        <f t="shared" si="19"/>
        <v>10205</v>
      </c>
      <c r="L209" s="5">
        <f>IF(Table1[[#This Row],[Total_System_Load]]&gt;80%*AVERAGE(Table1[Total_System_Load]),Table1[[#This Row],[Total_System_Load]]-Table1[[#This Row],[Total_Children_Under_Care]],0)</f>
        <v>296</v>
      </c>
      <c r="M209" s="5">
        <f t="shared" si="15"/>
        <v>-146</v>
      </c>
      <c r="N209" s="5">
        <f>M210-Table1[[#This Row],[Net_Daily_Intake]]</f>
        <v>3</v>
      </c>
      <c r="O209" s="5">
        <f>M210-Table1[[#This Row],[Net_Daily_Intake]]/Table1[[#This Row],[Net_Daily_Intake]]</f>
        <v>-144</v>
      </c>
      <c r="P209" t="str">
        <f>IF(Table1[[#This Row],[Change_in_Net_Daily_Intake]]&gt;0,"Sustained Positive","Negative")</f>
        <v>Sustained Positive</v>
      </c>
      <c r="Q209" s="1">
        <f>(Table1[[#This Row],[Total_System_Load]]-Table1[[#This Row],[Total_Children_Under_Care]])/Table1[[#This Row],[Total_Children_Under_Care]]*100</f>
        <v>2.9871833686547582</v>
      </c>
      <c r="R209" s="1">
        <f>(Table1[[#This Row],[Children_discharged _from_HHS_ Care]]/Table1[[#This Row],[Children_transferred_out_of_CBP_custody]])</f>
        <v>3.1470588235294117</v>
      </c>
    </row>
    <row r="210" spans="1:18" x14ac:dyDescent="0.3">
      <c r="A210">
        <v>209</v>
      </c>
      <c r="B210" s="7">
        <v>45258</v>
      </c>
      <c r="C210" s="5">
        <v>74</v>
      </c>
      <c r="D210" s="5">
        <v>103</v>
      </c>
      <c r="E210" s="5">
        <v>80</v>
      </c>
      <c r="F210" s="5">
        <v>10223</v>
      </c>
      <c r="G210" s="5">
        <v>223</v>
      </c>
      <c r="H210" t="str">
        <f t="shared" si="16"/>
        <v>Valid</v>
      </c>
      <c r="I210" t="str">
        <f t="shared" si="17"/>
        <v>Valid</v>
      </c>
      <c r="J210" s="5">
        <f t="shared" si="18"/>
        <v>10000</v>
      </c>
      <c r="K210" s="5">
        <f t="shared" si="19"/>
        <v>10326</v>
      </c>
      <c r="L210" s="5">
        <f>IF(Table1[[#This Row],[Total_System_Load]]&gt;80%*AVERAGE(Table1[Total_System_Load]),Table1[[#This Row],[Total_System_Load]]-Table1[[#This Row],[Total_Children_Under_Care]],0)</f>
        <v>326</v>
      </c>
      <c r="M210" s="5">
        <f t="shared" si="15"/>
        <v>-143</v>
      </c>
      <c r="N210" s="5">
        <f>M211-Table1[[#This Row],[Net_Daily_Intake]]</f>
        <v>-39</v>
      </c>
      <c r="O210" s="5">
        <f>M211-Table1[[#This Row],[Net_Daily_Intake]]/Table1[[#This Row],[Net_Daily_Intake]]</f>
        <v>-183</v>
      </c>
      <c r="P210" t="str">
        <f>IF(Table1[[#This Row],[Change_in_Net_Daily_Intake]]&gt;0,"Sustained Positive","Negative")</f>
        <v>Negative</v>
      </c>
      <c r="Q210" s="1">
        <f>(Table1[[#This Row],[Total_System_Load]]-Table1[[#This Row],[Total_Children_Under_Care]])/Table1[[#This Row],[Total_Children_Under_Care]]*100</f>
        <v>3.26</v>
      </c>
      <c r="R210" s="1">
        <f>(Table1[[#This Row],[Children_discharged _from_HHS_ Care]]/Table1[[#This Row],[Children_transferred_out_of_CBP_custody]])</f>
        <v>2.7875000000000001</v>
      </c>
    </row>
    <row r="211" spans="1:18" x14ac:dyDescent="0.3">
      <c r="A211">
        <v>210</v>
      </c>
      <c r="B211" s="7">
        <v>45259</v>
      </c>
      <c r="C211" s="5">
        <v>68</v>
      </c>
      <c r="D211" s="5">
        <v>107</v>
      </c>
      <c r="E211" s="5">
        <v>102</v>
      </c>
      <c r="F211" s="5">
        <v>10398</v>
      </c>
      <c r="G211" s="5">
        <v>284</v>
      </c>
      <c r="H211" t="str">
        <f t="shared" si="16"/>
        <v>Valid</v>
      </c>
      <c r="I211" t="str">
        <f t="shared" si="17"/>
        <v>Valid</v>
      </c>
      <c r="J211" s="5">
        <f t="shared" si="18"/>
        <v>10114</v>
      </c>
      <c r="K211" s="5">
        <f t="shared" si="19"/>
        <v>10505</v>
      </c>
      <c r="L211" s="5">
        <f>IF(Table1[[#This Row],[Total_System_Load]]&gt;80%*AVERAGE(Table1[Total_System_Load]),Table1[[#This Row],[Total_System_Load]]-Table1[[#This Row],[Total_Children_Under_Care]],0)</f>
        <v>391</v>
      </c>
      <c r="M211" s="5">
        <f t="shared" si="15"/>
        <v>-182</v>
      </c>
      <c r="N211" s="5">
        <f>M212-Table1[[#This Row],[Net_Daily_Intake]]</f>
        <v>-45</v>
      </c>
      <c r="O211" s="5">
        <f>M212-Table1[[#This Row],[Net_Daily_Intake]]/Table1[[#This Row],[Net_Daily_Intake]]</f>
        <v>-228</v>
      </c>
      <c r="P211" t="str">
        <f>IF(Table1[[#This Row],[Change_in_Net_Daily_Intake]]&gt;0,"Sustained Positive","Negative")</f>
        <v>Negative</v>
      </c>
      <c r="Q211" s="1">
        <f>(Table1[[#This Row],[Total_System_Load]]-Table1[[#This Row],[Total_Children_Under_Care]])/Table1[[#This Row],[Total_Children_Under_Care]]*100</f>
        <v>3.8659284160569505</v>
      </c>
      <c r="R211" s="1">
        <f>(Table1[[#This Row],[Children_discharged _from_HHS_ Care]]/Table1[[#This Row],[Children_transferred_out_of_CBP_custody]])</f>
        <v>2.784313725490196</v>
      </c>
    </row>
    <row r="212" spans="1:18" x14ac:dyDescent="0.3">
      <c r="A212">
        <v>211</v>
      </c>
      <c r="B212" s="7">
        <v>45260</v>
      </c>
      <c r="C212" s="5">
        <v>92</v>
      </c>
      <c r="D212" s="5">
        <v>124</v>
      </c>
      <c r="E212" s="5">
        <v>93</v>
      </c>
      <c r="F212" s="5">
        <v>10536</v>
      </c>
      <c r="G212" s="5">
        <v>320</v>
      </c>
      <c r="H212" t="str">
        <f t="shared" si="16"/>
        <v>Valid</v>
      </c>
      <c r="I212" t="str">
        <f t="shared" si="17"/>
        <v>Valid</v>
      </c>
      <c r="J212" s="5">
        <f t="shared" si="18"/>
        <v>10216</v>
      </c>
      <c r="K212" s="5">
        <f t="shared" si="19"/>
        <v>10660</v>
      </c>
      <c r="L212" s="5">
        <f>IF(Table1[[#This Row],[Total_System_Load]]&gt;80%*AVERAGE(Table1[Total_System_Load]),Table1[[#This Row],[Total_System_Load]]-Table1[[#This Row],[Total_Children_Under_Care]],0)</f>
        <v>444</v>
      </c>
      <c r="M212" s="5">
        <f t="shared" si="15"/>
        <v>-227</v>
      </c>
      <c r="N212" s="5">
        <f>M213-Table1[[#This Row],[Net_Daily_Intake]]</f>
        <v>7</v>
      </c>
      <c r="O212" s="5">
        <f>M213-Table1[[#This Row],[Net_Daily_Intake]]/Table1[[#This Row],[Net_Daily_Intake]]</f>
        <v>-221</v>
      </c>
      <c r="P212" t="str">
        <f>IF(Table1[[#This Row],[Change_in_Net_Daily_Intake]]&gt;0,"Sustained Positive","Negative")</f>
        <v>Sustained Positive</v>
      </c>
      <c r="Q212" s="1">
        <f>(Table1[[#This Row],[Total_System_Load]]-Table1[[#This Row],[Total_Children_Under_Care]])/Table1[[#This Row],[Total_Children_Under_Care]]*100</f>
        <v>4.3461237274862956</v>
      </c>
      <c r="R212" s="1">
        <f>(Table1[[#This Row],[Children_discharged _from_HHS_ Care]]/Table1[[#This Row],[Children_transferred_out_of_CBP_custody]])</f>
        <v>3.4408602150537635</v>
      </c>
    </row>
    <row r="213" spans="1:18" x14ac:dyDescent="0.3">
      <c r="A213">
        <v>212</v>
      </c>
      <c r="B213" s="7">
        <v>45263</v>
      </c>
      <c r="C213" s="5">
        <v>132</v>
      </c>
      <c r="D213" s="5">
        <v>235</v>
      </c>
      <c r="E213" s="5">
        <v>197</v>
      </c>
      <c r="F213" s="5">
        <v>10579</v>
      </c>
      <c r="G213" s="5">
        <v>417</v>
      </c>
      <c r="H213" t="str">
        <f t="shared" si="16"/>
        <v>Valid</v>
      </c>
      <c r="I213" t="str">
        <f t="shared" si="17"/>
        <v>Valid</v>
      </c>
      <c r="J213" s="5">
        <f t="shared" si="18"/>
        <v>10162</v>
      </c>
      <c r="K213" s="5">
        <f t="shared" si="19"/>
        <v>10814</v>
      </c>
      <c r="L213" s="5">
        <f>IF(Table1[[#This Row],[Total_System_Load]]&gt;80%*AVERAGE(Table1[Total_System_Load]),Table1[[#This Row],[Total_System_Load]]-Table1[[#This Row],[Total_Children_Under_Care]],0)</f>
        <v>652</v>
      </c>
      <c r="M213" s="5">
        <f t="shared" si="15"/>
        <v>-220</v>
      </c>
      <c r="N213" s="5">
        <f>M214-Table1[[#This Row],[Net_Daily_Intake]]</f>
        <v>203</v>
      </c>
      <c r="O213" s="5">
        <f>M214-Table1[[#This Row],[Net_Daily_Intake]]/Table1[[#This Row],[Net_Daily_Intake]]</f>
        <v>-18</v>
      </c>
      <c r="P213" t="str">
        <f>IF(Table1[[#This Row],[Change_in_Net_Daily_Intake]]&gt;0,"Sustained Positive","Negative")</f>
        <v>Sustained Positive</v>
      </c>
      <c r="Q213" s="1">
        <f>(Table1[[#This Row],[Total_System_Load]]-Table1[[#This Row],[Total_Children_Under_Care]])/Table1[[#This Row],[Total_Children_Under_Care]]*100</f>
        <v>6.4160598307419798</v>
      </c>
      <c r="R213" s="1">
        <f>(Table1[[#This Row],[Children_discharged _from_HHS_ Care]]/Table1[[#This Row],[Children_transferred_out_of_CBP_custody]])</f>
        <v>2.1167512690355328</v>
      </c>
    </row>
    <row r="214" spans="1:18" x14ac:dyDescent="0.3">
      <c r="A214">
        <v>213</v>
      </c>
      <c r="B214" s="7">
        <v>45264</v>
      </c>
      <c r="C214" s="5">
        <v>174</v>
      </c>
      <c r="D214" s="5">
        <v>208</v>
      </c>
      <c r="E214" s="5">
        <v>256</v>
      </c>
      <c r="F214" s="5">
        <v>10635</v>
      </c>
      <c r="G214" s="5">
        <v>273</v>
      </c>
      <c r="H214" t="str">
        <f t="shared" si="16"/>
        <v>Invalid</v>
      </c>
      <c r="I214" t="str">
        <f t="shared" si="17"/>
        <v>Valid</v>
      </c>
      <c r="J214" s="5">
        <f t="shared" si="18"/>
        <v>10362</v>
      </c>
      <c r="K214" s="5">
        <f t="shared" si="19"/>
        <v>10843</v>
      </c>
      <c r="L214" s="5">
        <f>IF(Table1[[#This Row],[Total_System_Load]]&gt;80%*AVERAGE(Table1[Total_System_Load]),Table1[[#This Row],[Total_System_Load]]-Table1[[#This Row],[Total_Children_Under_Care]],0)</f>
        <v>481</v>
      </c>
      <c r="M214" s="5">
        <f t="shared" si="15"/>
        <v>-17</v>
      </c>
      <c r="N214" s="5">
        <f>M215-Table1[[#This Row],[Net_Daily_Intake]]</f>
        <v>-77</v>
      </c>
      <c r="O214" s="5">
        <f>M215-Table1[[#This Row],[Net_Daily_Intake]]/Table1[[#This Row],[Net_Daily_Intake]]</f>
        <v>-95</v>
      </c>
      <c r="P214" t="str">
        <f>IF(Table1[[#This Row],[Change_in_Net_Daily_Intake]]&gt;0,"Sustained Positive","Negative")</f>
        <v>Negative</v>
      </c>
      <c r="Q214" s="1">
        <f>(Table1[[#This Row],[Total_System_Load]]-Table1[[#This Row],[Total_Children_Under_Care]])/Table1[[#This Row],[Total_Children_Under_Care]]*100</f>
        <v>4.641961011387763</v>
      </c>
      <c r="R214" s="1">
        <f>(Table1[[#This Row],[Children_discharged _from_HHS_ Care]]/Table1[[#This Row],[Children_transferred_out_of_CBP_custody]])</f>
        <v>1.06640625</v>
      </c>
    </row>
    <row r="215" spans="1:18" x14ac:dyDescent="0.3">
      <c r="A215">
        <v>214</v>
      </c>
      <c r="B215" s="7">
        <v>45265</v>
      </c>
      <c r="C215" s="5">
        <v>123</v>
      </c>
      <c r="D215" s="5">
        <v>230</v>
      </c>
      <c r="E215" s="5">
        <v>167</v>
      </c>
      <c r="F215" s="5">
        <v>10761</v>
      </c>
      <c r="G215" s="5">
        <v>261</v>
      </c>
      <c r="H215" t="str">
        <f t="shared" si="16"/>
        <v>Valid</v>
      </c>
      <c r="I215" t="str">
        <f t="shared" si="17"/>
        <v>Valid</v>
      </c>
      <c r="J215" s="5">
        <f t="shared" si="18"/>
        <v>10500</v>
      </c>
      <c r="K215" s="5">
        <f t="shared" si="19"/>
        <v>10991</v>
      </c>
      <c r="L215" s="5">
        <f>IF(Table1[[#This Row],[Total_System_Load]]&gt;80%*AVERAGE(Table1[Total_System_Load]),Table1[[#This Row],[Total_System_Load]]-Table1[[#This Row],[Total_Children_Under_Care]],0)</f>
        <v>491</v>
      </c>
      <c r="M215" s="5">
        <f t="shared" si="15"/>
        <v>-94</v>
      </c>
      <c r="N215" s="5">
        <f>M216-Table1[[#This Row],[Net_Daily_Intake]]</f>
        <v>-123</v>
      </c>
      <c r="O215" s="5">
        <f>M216-Table1[[#This Row],[Net_Daily_Intake]]/Table1[[#This Row],[Net_Daily_Intake]]</f>
        <v>-218</v>
      </c>
      <c r="P215" t="str">
        <f>IF(Table1[[#This Row],[Change_in_Net_Daily_Intake]]&gt;0,"Sustained Positive","Negative")</f>
        <v>Negative</v>
      </c>
      <c r="Q215" s="1">
        <f>(Table1[[#This Row],[Total_System_Load]]-Table1[[#This Row],[Total_Children_Under_Care]])/Table1[[#This Row],[Total_Children_Under_Care]]*100</f>
        <v>4.6761904761904765</v>
      </c>
      <c r="R215" s="1">
        <f>(Table1[[#This Row],[Children_discharged _from_HHS_ Care]]/Table1[[#This Row],[Children_transferred_out_of_CBP_custody]])</f>
        <v>1.562874251497006</v>
      </c>
    </row>
    <row r="216" spans="1:18" x14ac:dyDescent="0.3">
      <c r="A216">
        <v>215</v>
      </c>
      <c r="B216" s="7">
        <v>45266</v>
      </c>
      <c r="C216" s="5">
        <v>123</v>
      </c>
      <c r="D216" s="5">
        <v>233</v>
      </c>
      <c r="E216" s="5">
        <v>159</v>
      </c>
      <c r="F216" s="5">
        <v>10832</v>
      </c>
      <c r="G216" s="5">
        <v>376</v>
      </c>
      <c r="H216" t="str">
        <f t="shared" si="16"/>
        <v>Valid</v>
      </c>
      <c r="I216" t="str">
        <f t="shared" si="17"/>
        <v>Valid</v>
      </c>
      <c r="J216" s="5">
        <f t="shared" si="18"/>
        <v>10456</v>
      </c>
      <c r="K216" s="5">
        <f t="shared" si="19"/>
        <v>11065</v>
      </c>
      <c r="L216" s="5">
        <f>IF(Table1[[#This Row],[Total_System_Load]]&gt;80%*AVERAGE(Table1[Total_System_Load]),Table1[[#This Row],[Total_System_Load]]-Table1[[#This Row],[Total_Children_Under_Care]],0)</f>
        <v>609</v>
      </c>
      <c r="M216" s="5">
        <f t="shared" si="15"/>
        <v>-217</v>
      </c>
      <c r="N216" s="5">
        <f>M217-Table1[[#This Row],[Net_Daily_Intake]]</f>
        <v>-61</v>
      </c>
      <c r="O216" s="5">
        <f>M217-Table1[[#This Row],[Net_Daily_Intake]]/Table1[[#This Row],[Net_Daily_Intake]]</f>
        <v>-279</v>
      </c>
      <c r="P216" t="str">
        <f>IF(Table1[[#This Row],[Change_in_Net_Daily_Intake]]&gt;0,"Sustained Positive","Negative")</f>
        <v>Negative</v>
      </c>
      <c r="Q216" s="1">
        <f>(Table1[[#This Row],[Total_System_Load]]-Table1[[#This Row],[Total_Children_Under_Care]])/Table1[[#This Row],[Total_Children_Under_Care]]*100</f>
        <v>5.8244070390206577</v>
      </c>
      <c r="R216" s="1">
        <f>(Table1[[#This Row],[Children_discharged _from_HHS_ Care]]/Table1[[#This Row],[Children_transferred_out_of_CBP_custody]])</f>
        <v>2.3647798742138364</v>
      </c>
    </row>
    <row r="217" spans="1:18" x14ac:dyDescent="0.3">
      <c r="A217">
        <v>216</v>
      </c>
      <c r="B217" s="7">
        <v>45267</v>
      </c>
      <c r="C217" s="5">
        <v>141</v>
      </c>
      <c r="D217" s="5">
        <v>232</v>
      </c>
      <c r="E217" s="5">
        <v>188</v>
      </c>
      <c r="F217" s="5">
        <v>10897</v>
      </c>
      <c r="G217" s="5">
        <v>466</v>
      </c>
      <c r="H217" t="str">
        <f t="shared" si="16"/>
        <v>Valid</v>
      </c>
      <c r="I217" t="str">
        <f t="shared" si="17"/>
        <v>Valid</v>
      </c>
      <c r="J217" s="5">
        <f t="shared" si="18"/>
        <v>10431</v>
      </c>
      <c r="K217" s="5">
        <f t="shared" si="19"/>
        <v>11129</v>
      </c>
      <c r="L217" s="5">
        <f>IF(Table1[[#This Row],[Total_System_Load]]&gt;80%*AVERAGE(Table1[Total_System_Load]),Table1[[#This Row],[Total_System_Load]]-Table1[[#This Row],[Total_Children_Under_Care]],0)</f>
        <v>698</v>
      </c>
      <c r="M217" s="5">
        <f t="shared" si="15"/>
        <v>-278</v>
      </c>
      <c r="N217" s="5">
        <f>M218-Table1[[#This Row],[Net_Daily_Intake]]</f>
        <v>58</v>
      </c>
      <c r="O217" s="5">
        <f>M218-Table1[[#This Row],[Net_Daily_Intake]]/Table1[[#This Row],[Net_Daily_Intake]]</f>
        <v>-221</v>
      </c>
      <c r="P217" t="str">
        <f>IF(Table1[[#This Row],[Change_in_Net_Daily_Intake]]&gt;0,"Sustained Positive","Negative")</f>
        <v>Sustained Positive</v>
      </c>
      <c r="Q217" s="1">
        <f>(Table1[[#This Row],[Total_System_Load]]-Table1[[#This Row],[Total_Children_Under_Care]])/Table1[[#This Row],[Total_Children_Under_Care]]*100</f>
        <v>6.6915923689003929</v>
      </c>
      <c r="R217" s="1">
        <f>(Table1[[#This Row],[Children_discharged _from_HHS_ Care]]/Table1[[#This Row],[Children_transferred_out_of_CBP_custody]])</f>
        <v>2.478723404255319</v>
      </c>
    </row>
    <row r="218" spans="1:18" x14ac:dyDescent="0.3">
      <c r="A218">
        <v>217</v>
      </c>
      <c r="B218" s="7">
        <v>45270</v>
      </c>
      <c r="C218" s="5">
        <v>158</v>
      </c>
      <c r="D218" s="5">
        <v>226</v>
      </c>
      <c r="E218" s="5">
        <v>191</v>
      </c>
      <c r="F218" s="5">
        <v>10871</v>
      </c>
      <c r="G218" s="5">
        <v>411</v>
      </c>
      <c r="H218" t="str">
        <f t="shared" si="16"/>
        <v>Valid</v>
      </c>
      <c r="I218" t="str">
        <f t="shared" si="17"/>
        <v>Valid</v>
      </c>
      <c r="J218" s="5">
        <f t="shared" si="18"/>
        <v>10460</v>
      </c>
      <c r="K218" s="5">
        <f t="shared" si="19"/>
        <v>11097</v>
      </c>
      <c r="L218" s="5">
        <f>IF(Table1[[#This Row],[Total_System_Load]]&gt;80%*AVERAGE(Table1[Total_System_Load]),Table1[[#This Row],[Total_System_Load]]-Table1[[#This Row],[Total_Children_Under_Care]],0)</f>
        <v>637</v>
      </c>
      <c r="M218" s="5">
        <f t="shared" si="15"/>
        <v>-220</v>
      </c>
      <c r="N218" s="5">
        <f>M219-Table1[[#This Row],[Net_Daily_Intake]]</f>
        <v>149</v>
      </c>
      <c r="O218" s="5">
        <f>M219-Table1[[#This Row],[Net_Daily_Intake]]/Table1[[#This Row],[Net_Daily_Intake]]</f>
        <v>-72</v>
      </c>
      <c r="P218" t="str">
        <f>IF(Table1[[#This Row],[Change_in_Net_Daily_Intake]]&gt;0,"Sustained Positive","Negative")</f>
        <v>Sustained Positive</v>
      </c>
      <c r="Q218" s="1">
        <f>(Table1[[#This Row],[Total_System_Load]]-Table1[[#This Row],[Total_Children_Under_Care]])/Table1[[#This Row],[Total_Children_Under_Care]]*100</f>
        <v>6.089866156787763</v>
      </c>
      <c r="R218" s="1">
        <f>(Table1[[#This Row],[Children_discharged _from_HHS_ Care]]/Table1[[#This Row],[Children_transferred_out_of_CBP_custody]])</f>
        <v>2.1518324607329844</v>
      </c>
    </row>
    <row r="219" spans="1:18" x14ac:dyDescent="0.3">
      <c r="A219">
        <v>218</v>
      </c>
      <c r="B219" s="7">
        <v>45271</v>
      </c>
      <c r="C219" s="5">
        <v>96</v>
      </c>
      <c r="D219" s="5">
        <v>160</v>
      </c>
      <c r="E219" s="5">
        <v>233</v>
      </c>
      <c r="F219" s="5">
        <v>10998</v>
      </c>
      <c r="G219" s="5">
        <v>304</v>
      </c>
      <c r="H219" t="str">
        <f t="shared" si="16"/>
        <v>Invalid</v>
      </c>
      <c r="I219" t="str">
        <f t="shared" si="17"/>
        <v>Valid</v>
      </c>
      <c r="J219" s="5">
        <f t="shared" si="18"/>
        <v>10694</v>
      </c>
      <c r="K219" s="5">
        <f t="shared" si="19"/>
        <v>11158</v>
      </c>
      <c r="L219" s="5">
        <f>IF(Table1[[#This Row],[Total_System_Load]]&gt;80%*AVERAGE(Table1[Total_System_Load]),Table1[[#This Row],[Total_System_Load]]-Table1[[#This Row],[Total_Children_Under_Care]],0)</f>
        <v>464</v>
      </c>
      <c r="M219" s="5">
        <f t="shared" si="15"/>
        <v>-71</v>
      </c>
      <c r="N219" s="5">
        <f>M220-Table1[[#This Row],[Net_Daily_Intake]]</f>
        <v>-59</v>
      </c>
      <c r="O219" s="5">
        <f>M220-Table1[[#This Row],[Net_Daily_Intake]]/Table1[[#This Row],[Net_Daily_Intake]]</f>
        <v>-131</v>
      </c>
      <c r="P219" t="str">
        <f>IF(Table1[[#This Row],[Change_in_Net_Daily_Intake]]&gt;0,"Sustained Positive","Negative")</f>
        <v>Negative</v>
      </c>
      <c r="Q219" s="1">
        <f>(Table1[[#This Row],[Total_System_Load]]-Table1[[#This Row],[Total_Children_Under_Care]])/Table1[[#This Row],[Total_Children_Under_Care]]*100</f>
        <v>4.3388816158593606</v>
      </c>
      <c r="R219" s="1">
        <f>(Table1[[#This Row],[Children_discharged _from_HHS_ Care]]/Table1[[#This Row],[Children_transferred_out_of_CBP_custody]])</f>
        <v>1.3047210300429184</v>
      </c>
    </row>
    <row r="220" spans="1:18" x14ac:dyDescent="0.3">
      <c r="A220">
        <v>219</v>
      </c>
      <c r="B220" s="7">
        <v>45272</v>
      </c>
      <c r="C220" s="5">
        <v>141</v>
      </c>
      <c r="D220" s="5">
        <v>173</v>
      </c>
      <c r="E220" s="5">
        <v>129</v>
      </c>
      <c r="F220" s="5">
        <v>11077</v>
      </c>
      <c r="G220" s="5">
        <v>259</v>
      </c>
      <c r="H220" t="str">
        <f t="shared" si="16"/>
        <v>Valid</v>
      </c>
      <c r="I220" t="str">
        <f t="shared" si="17"/>
        <v>Valid</v>
      </c>
      <c r="J220" s="5">
        <f t="shared" si="18"/>
        <v>10818</v>
      </c>
      <c r="K220" s="5">
        <f t="shared" si="19"/>
        <v>11250</v>
      </c>
      <c r="L220" s="5">
        <f>IF(Table1[[#This Row],[Total_System_Load]]&gt;80%*AVERAGE(Table1[Total_System_Load]),Table1[[#This Row],[Total_System_Load]]-Table1[[#This Row],[Total_Children_Under_Care]],0)</f>
        <v>432</v>
      </c>
      <c r="M220" s="5">
        <f t="shared" si="15"/>
        <v>-130</v>
      </c>
      <c r="N220" s="5">
        <f>M221-Table1[[#This Row],[Net_Daily_Intake]]</f>
        <v>-23</v>
      </c>
      <c r="O220" s="5">
        <f>M221-Table1[[#This Row],[Net_Daily_Intake]]/Table1[[#This Row],[Net_Daily_Intake]]</f>
        <v>-154</v>
      </c>
      <c r="P220" t="str">
        <f>IF(Table1[[#This Row],[Change_in_Net_Daily_Intake]]&gt;0,"Sustained Positive","Negative")</f>
        <v>Negative</v>
      </c>
      <c r="Q220" s="1">
        <f>(Table1[[#This Row],[Total_System_Load]]-Table1[[#This Row],[Total_Children_Under_Care]])/Table1[[#This Row],[Total_Children_Under_Care]]*100</f>
        <v>3.9933444259567388</v>
      </c>
      <c r="R220" s="1">
        <f>(Table1[[#This Row],[Children_discharged _from_HHS_ Care]]/Table1[[#This Row],[Children_transferred_out_of_CBP_custody]])</f>
        <v>2.0077519379844961</v>
      </c>
    </row>
    <row r="221" spans="1:18" x14ac:dyDescent="0.3">
      <c r="A221">
        <v>220</v>
      </c>
      <c r="B221" s="7">
        <v>45273</v>
      </c>
      <c r="C221" s="5">
        <v>116</v>
      </c>
      <c r="D221" s="5">
        <v>181</v>
      </c>
      <c r="E221" s="5">
        <v>182</v>
      </c>
      <c r="F221" s="5">
        <v>11192</v>
      </c>
      <c r="G221" s="5">
        <v>335</v>
      </c>
      <c r="H221" t="str">
        <f t="shared" si="16"/>
        <v>Invalid</v>
      </c>
      <c r="I221" t="str">
        <f t="shared" si="17"/>
        <v>Valid</v>
      </c>
      <c r="J221" s="5">
        <f t="shared" si="18"/>
        <v>10857</v>
      </c>
      <c r="K221" s="5">
        <f t="shared" si="19"/>
        <v>11373</v>
      </c>
      <c r="L221" s="5">
        <f>IF(Table1[[#This Row],[Total_System_Load]]&gt;80%*AVERAGE(Table1[Total_System_Load]),Table1[[#This Row],[Total_System_Load]]-Table1[[#This Row],[Total_Children_Under_Care]],0)</f>
        <v>516</v>
      </c>
      <c r="M221" s="5">
        <f t="shared" si="15"/>
        <v>-153</v>
      </c>
      <c r="N221" s="5">
        <f>M222-Table1[[#This Row],[Net_Daily_Intake]]</f>
        <v>-42</v>
      </c>
      <c r="O221" s="5">
        <f>M222-Table1[[#This Row],[Net_Daily_Intake]]/Table1[[#This Row],[Net_Daily_Intake]]</f>
        <v>-196</v>
      </c>
      <c r="P221" t="str">
        <f>IF(Table1[[#This Row],[Change_in_Net_Daily_Intake]]&gt;0,"Sustained Positive","Negative")</f>
        <v>Negative</v>
      </c>
      <c r="Q221" s="1">
        <f>(Table1[[#This Row],[Total_System_Load]]-Table1[[#This Row],[Total_Children_Under_Care]])/Table1[[#This Row],[Total_Children_Under_Care]]*100</f>
        <v>4.7526941143962418</v>
      </c>
      <c r="R221" s="1">
        <f>(Table1[[#This Row],[Children_discharged _from_HHS_ Care]]/Table1[[#This Row],[Children_transferred_out_of_CBP_custody]])</f>
        <v>1.8406593406593406</v>
      </c>
    </row>
    <row r="222" spans="1:18" x14ac:dyDescent="0.3">
      <c r="A222">
        <v>221</v>
      </c>
      <c r="B222" s="7">
        <v>45274</v>
      </c>
      <c r="C222" s="5">
        <v>150</v>
      </c>
      <c r="D222" s="5">
        <v>157</v>
      </c>
      <c r="E222" s="5">
        <v>201</v>
      </c>
      <c r="F222" s="5">
        <v>11242</v>
      </c>
      <c r="G222" s="5">
        <v>396</v>
      </c>
      <c r="H222" t="str">
        <f t="shared" si="16"/>
        <v>Invalid</v>
      </c>
      <c r="I222" t="str">
        <f t="shared" si="17"/>
        <v>Valid</v>
      </c>
      <c r="J222" s="5">
        <f t="shared" si="18"/>
        <v>10846</v>
      </c>
      <c r="K222" s="5">
        <f t="shared" si="19"/>
        <v>11399</v>
      </c>
      <c r="L222" s="5">
        <f>IF(Table1[[#This Row],[Total_System_Load]]&gt;80%*AVERAGE(Table1[Total_System_Load]),Table1[[#This Row],[Total_System_Load]]-Table1[[#This Row],[Total_Children_Under_Care]],0)</f>
        <v>553</v>
      </c>
      <c r="M222" s="5">
        <f t="shared" si="15"/>
        <v>-195</v>
      </c>
      <c r="N222" s="5">
        <f>M223-Table1[[#This Row],[Net_Daily_Intake]]</f>
        <v>-136</v>
      </c>
      <c r="O222" s="5">
        <f>M223-Table1[[#This Row],[Net_Daily_Intake]]/Table1[[#This Row],[Net_Daily_Intake]]</f>
        <v>-332</v>
      </c>
      <c r="P222" t="str">
        <f>IF(Table1[[#This Row],[Change_in_Net_Daily_Intake]]&gt;0,"Sustained Positive","Negative")</f>
        <v>Negative</v>
      </c>
      <c r="Q222" s="1">
        <f>(Table1[[#This Row],[Total_System_Load]]-Table1[[#This Row],[Total_Children_Under_Care]])/Table1[[#This Row],[Total_Children_Under_Care]]*100</f>
        <v>5.0986538816153422</v>
      </c>
      <c r="R222" s="1">
        <f>(Table1[[#This Row],[Children_discharged _from_HHS_ Care]]/Table1[[#This Row],[Children_transferred_out_of_CBP_custody]])</f>
        <v>1.9701492537313432</v>
      </c>
    </row>
    <row r="223" spans="1:18" x14ac:dyDescent="0.3">
      <c r="A223">
        <v>222</v>
      </c>
      <c r="B223" s="7">
        <v>45277</v>
      </c>
      <c r="C223" s="5">
        <v>80</v>
      </c>
      <c r="D223" s="5">
        <v>176</v>
      </c>
      <c r="E223" s="5">
        <v>125</v>
      </c>
      <c r="F223" s="5">
        <v>11092</v>
      </c>
      <c r="G223" s="5">
        <v>456</v>
      </c>
      <c r="H223" t="str">
        <f t="shared" si="16"/>
        <v>Valid</v>
      </c>
      <c r="I223" t="str">
        <f t="shared" si="17"/>
        <v>Valid</v>
      </c>
      <c r="J223" s="5">
        <f t="shared" si="18"/>
        <v>10636</v>
      </c>
      <c r="K223" s="5">
        <f t="shared" si="19"/>
        <v>11268</v>
      </c>
      <c r="L223" s="5">
        <f>IF(Table1[[#This Row],[Total_System_Load]]&gt;80%*AVERAGE(Table1[Total_System_Load]),Table1[[#This Row],[Total_System_Load]]-Table1[[#This Row],[Total_Children_Under_Care]],0)</f>
        <v>632</v>
      </c>
      <c r="M223" s="5">
        <f t="shared" si="15"/>
        <v>-331</v>
      </c>
      <c r="N223" s="5">
        <f>M224-Table1[[#This Row],[Net_Daily_Intake]]</f>
        <v>131</v>
      </c>
      <c r="O223" s="5">
        <f>M224-Table1[[#This Row],[Net_Daily_Intake]]/Table1[[#This Row],[Net_Daily_Intake]]</f>
        <v>-201</v>
      </c>
      <c r="P223" t="str">
        <f>IF(Table1[[#This Row],[Change_in_Net_Daily_Intake]]&gt;0,"Sustained Positive","Negative")</f>
        <v>Sustained Positive</v>
      </c>
      <c r="Q223" s="1">
        <f>(Table1[[#This Row],[Total_System_Load]]-Table1[[#This Row],[Total_Children_Under_Care]])/Table1[[#This Row],[Total_Children_Under_Care]]*100</f>
        <v>5.9420834900338475</v>
      </c>
      <c r="R223" s="1">
        <f>(Table1[[#This Row],[Children_discharged _from_HHS_ Care]]/Table1[[#This Row],[Children_transferred_out_of_CBP_custody]])</f>
        <v>3.6480000000000001</v>
      </c>
    </row>
    <row r="224" spans="1:18" x14ac:dyDescent="0.3">
      <c r="A224">
        <v>223</v>
      </c>
      <c r="B224" s="7">
        <v>45278</v>
      </c>
      <c r="C224" s="5">
        <v>116</v>
      </c>
      <c r="D224" s="5">
        <v>188</v>
      </c>
      <c r="E224" s="5">
        <v>164</v>
      </c>
      <c r="F224" s="5">
        <v>11149</v>
      </c>
      <c r="G224" s="5">
        <v>364</v>
      </c>
      <c r="H224" t="str">
        <f t="shared" si="16"/>
        <v>Valid</v>
      </c>
      <c r="I224" t="str">
        <f t="shared" si="17"/>
        <v>Valid</v>
      </c>
      <c r="J224" s="5">
        <f t="shared" si="18"/>
        <v>10785</v>
      </c>
      <c r="K224" s="5">
        <f t="shared" si="19"/>
        <v>11337</v>
      </c>
      <c r="L224" s="5">
        <f>IF(Table1[[#This Row],[Total_System_Load]]&gt;80%*AVERAGE(Table1[Total_System_Load]),Table1[[#This Row],[Total_System_Load]]-Table1[[#This Row],[Total_Children_Under_Care]],0)</f>
        <v>552</v>
      </c>
      <c r="M224" s="5">
        <f t="shared" si="15"/>
        <v>-200</v>
      </c>
      <c r="N224" s="5">
        <f>M225-Table1[[#This Row],[Net_Daily_Intake]]</f>
        <v>86</v>
      </c>
      <c r="O224" s="5">
        <f>M225-Table1[[#This Row],[Net_Daily_Intake]]/Table1[[#This Row],[Net_Daily_Intake]]</f>
        <v>-115</v>
      </c>
      <c r="P224" t="str">
        <f>IF(Table1[[#This Row],[Change_in_Net_Daily_Intake]]&gt;0,"Sustained Positive","Negative")</f>
        <v>Sustained Positive</v>
      </c>
      <c r="Q224" s="1">
        <f>(Table1[[#This Row],[Total_System_Load]]-Table1[[#This Row],[Total_Children_Under_Care]])/Table1[[#This Row],[Total_Children_Under_Care]]*100</f>
        <v>5.1182197496522948</v>
      </c>
      <c r="R224" s="1">
        <f>(Table1[[#This Row],[Children_discharged _from_HHS_ Care]]/Table1[[#This Row],[Children_transferred_out_of_CBP_custody]])</f>
        <v>2.2195121951219514</v>
      </c>
    </row>
    <row r="225" spans="1:18" x14ac:dyDescent="0.3">
      <c r="A225">
        <v>224</v>
      </c>
      <c r="B225" s="7">
        <v>45279</v>
      </c>
      <c r="C225" s="5">
        <v>105</v>
      </c>
      <c r="D225" s="5">
        <v>185</v>
      </c>
      <c r="E225" s="5">
        <v>158</v>
      </c>
      <c r="F225" s="5">
        <v>11291</v>
      </c>
      <c r="G225" s="5">
        <v>272</v>
      </c>
      <c r="H225" t="str">
        <f t="shared" si="16"/>
        <v>Valid</v>
      </c>
      <c r="I225" t="str">
        <f t="shared" si="17"/>
        <v>Valid</v>
      </c>
      <c r="J225" s="5">
        <f t="shared" si="18"/>
        <v>11019</v>
      </c>
      <c r="K225" s="5">
        <f t="shared" si="19"/>
        <v>11476</v>
      </c>
      <c r="L225" s="5">
        <f>IF(Table1[[#This Row],[Total_System_Load]]&gt;80%*AVERAGE(Table1[Total_System_Load]),Table1[[#This Row],[Total_System_Load]]-Table1[[#This Row],[Total_Children_Under_Care]],0)</f>
        <v>457</v>
      </c>
      <c r="M225" s="5">
        <f t="shared" si="15"/>
        <v>-114</v>
      </c>
      <c r="N225" s="5">
        <f>M226-Table1[[#This Row],[Net_Daily_Intake]]</f>
        <v>-153</v>
      </c>
      <c r="O225" s="5">
        <f>M226-Table1[[#This Row],[Net_Daily_Intake]]/Table1[[#This Row],[Net_Daily_Intake]]</f>
        <v>-268</v>
      </c>
      <c r="P225" t="str">
        <f>IF(Table1[[#This Row],[Change_in_Net_Daily_Intake]]&gt;0,"Sustained Positive","Negative")</f>
        <v>Negative</v>
      </c>
      <c r="Q225" s="1">
        <f>(Table1[[#This Row],[Total_System_Load]]-Table1[[#This Row],[Total_Children_Under_Care]])/Table1[[#This Row],[Total_Children_Under_Care]]*100</f>
        <v>4.1473817950812233</v>
      </c>
      <c r="R225" s="1">
        <f>(Table1[[#This Row],[Children_discharged _from_HHS_ Care]]/Table1[[#This Row],[Children_transferred_out_of_CBP_custody]])</f>
        <v>1.7215189873417722</v>
      </c>
    </row>
    <row r="226" spans="1:18" x14ac:dyDescent="0.3">
      <c r="A226">
        <v>225</v>
      </c>
      <c r="B226" s="7">
        <v>45280</v>
      </c>
      <c r="C226" s="5">
        <v>136</v>
      </c>
      <c r="D226" s="5">
        <v>246</v>
      </c>
      <c r="E226" s="5">
        <v>123</v>
      </c>
      <c r="F226" s="5">
        <v>11516</v>
      </c>
      <c r="G226" s="5">
        <v>390</v>
      </c>
      <c r="H226" t="str">
        <f t="shared" si="16"/>
        <v>Valid</v>
      </c>
      <c r="I226" t="str">
        <f t="shared" si="17"/>
        <v>Valid</v>
      </c>
      <c r="J226" s="5">
        <f t="shared" si="18"/>
        <v>11126</v>
      </c>
      <c r="K226" s="5">
        <f t="shared" si="19"/>
        <v>11762</v>
      </c>
      <c r="L226" s="5">
        <f>IF(Table1[[#This Row],[Total_System_Load]]&gt;80%*AVERAGE(Table1[Total_System_Load]),Table1[[#This Row],[Total_System_Load]]-Table1[[#This Row],[Total_Children_Under_Care]],0)</f>
        <v>636</v>
      </c>
      <c r="M226" s="5">
        <f t="shared" si="15"/>
        <v>-267</v>
      </c>
      <c r="N226" s="5">
        <f>M227-Table1[[#This Row],[Net_Daily_Intake]]</f>
        <v>-53</v>
      </c>
      <c r="O226" s="5">
        <f>M227-Table1[[#This Row],[Net_Daily_Intake]]/Table1[[#This Row],[Net_Daily_Intake]]</f>
        <v>-321</v>
      </c>
      <c r="P226" t="str">
        <f>IF(Table1[[#This Row],[Change_in_Net_Daily_Intake]]&gt;0,"Sustained Positive","Negative")</f>
        <v>Negative</v>
      </c>
      <c r="Q226" s="1">
        <f>(Table1[[#This Row],[Total_System_Load]]-Table1[[#This Row],[Total_Children_Under_Care]])/Table1[[#This Row],[Total_Children_Under_Care]]*100</f>
        <v>5.7163401042602908</v>
      </c>
      <c r="R226" s="1">
        <f>(Table1[[#This Row],[Children_discharged _from_HHS_ Care]]/Table1[[#This Row],[Children_transferred_out_of_CBP_custody]])</f>
        <v>3.1707317073170733</v>
      </c>
    </row>
    <row r="227" spans="1:18" x14ac:dyDescent="0.3">
      <c r="A227">
        <v>226</v>
      </c>
      <c r="B227" s="7">
        <v>45281</v>
      </c>
      <c r="C227" s="5">
        <v>128</v>
      </c>
      <c r="D227" s="5">
        <v>228</v>
      </c>
      <c r="E227" s="5">
        <v>177</v>
      </c>
      <c r="F227" s="5">
        <v>11375</v>
      </c>
      <c r="G227" s="5">
        <v>497</v>
      </c>
      <c r="H227" t="str">
        <f t="shared" si="16"/>
        <v>Valid</v>
      </c>
      <c r="I227" t="str">
        <f t="shared" si="17"/>
        <v>Valid</v>
      </c>
      <c r="J227" s="5">
        <f t="shared" si="18"/>
        <v>10878</v>
      </c>
      <c r="K227" s="5">
        <f t="shared" si="19"/>
        <v>11603</v>
      </c>
      <c r="L227" s="5">
        <f>IF(Table1[[#This Row],[Total_System_Load]]&gt;80%*AVERAGE(Table1[Total_System_Load]),Table1[[#This Row],[Total_System_Load]]-Table1[[#This Row],[Total_Children_Under_Care]],0)</f>
        <v>725</v>
      </c>
      <c r="M227" s="5">
        <f t="shared" si="15"/>
        <v>-320</v>
      </c>
      <c r="N227" s="5">
        <f>M228-Table1[[#This Row],[Net_Daily_Intake]]</f>
        <v>178</v>
      </c>
      <c r="O227" s="5">
        <f>M228-Table1[[#This Row],[Net_Daily_Intake]]/Table1[[#This Row],[Net_Daily_Intake]]</f>
        <v>-143</v>
      </c>
      <c r="P227" t="str">
        <f>IF(Table1[[#This Row],[Change_in_Net_Daily_Intake]]&gt;0,"Sustained Positive","Negative")</f>
        <v>Sustained Positive</v>
      </c>
      <c r="Q227" s="1">
        <f>(Table1[[#This Row],[Total_System_Load]]-Table1[[#This Row],[Total_Children_Under_Care]])/Table1[[#This Row],[Total_Children_Under_Care]]*100</f>
        <v>6.6648280933995219</v>
      </c>
      <c r="R227" s="1">
        <f>(Table1[[#This Row],[Children_discharged _from_HHS_ Care]]/Table1[[#This Row],[Children_transferred_out_of_CBP_custody]])</f>
        <v>2.8079096045197742</v>
      </c>
    </row>
    <row r="228" spans="1:18" x14ac:dyDescent="0.3">
      <c r="A228">
        <v>227</v>
      </c>
      <c r="B228" s="7">
        <v>45285</v>
      </c>
      <c r="C228" s="5">
        <v>90</v>
      </c>
      <c r="D228" s="5">
        <v>196</v>
      </c>
      <c r="E228" s="5">
        <v>205</v>
      </c>
      <c r="F228" s="5">
        <v>11144</v>
      </c>
      <c r="G228" s="5">
        <v>347</v>
      </c>
      <c r="H228" t="str">
        <f t="shared" si="16"/>
        <v>Invalid</v>
      </c>
      <c r="I228" t="str">
        <f t="shared" si="17"/>
        <v>Valid</v>
      </c>
      <c r="J228" s="5">
        <f t="shared" si="18"/>
        <v>10797</v>
      </c>
      <c r="K228" s="5">
        <f t="shared" si="19"/>
        <v>11340</v>
      </c>
      <c r="L228" s="5">
        <f>IF(Table1[[#This Row],[Total_System_Load]]&gt;80%*AVERAGE(Table1[Total_System_Load]),Table1[[#This Row],[Total_System_Load]]-Table1[[#This Row],[Total_Children_Under_Care]],0)</f>
        <v>543</v>
      </c>
      <c r="M228" s="5">
        <f t="shared" si="15"/>
        <v>-142</v>
      </c>
      <c r="N228" s="5">
        <f>M229-Table1[[#This Row],[Net_Daily_Intake]]</f>
        <v>-78</v>
      </c>
      <c r="O228" s="5">
        <f>M229-Table1[[#This Row],[Net_Daily_Intake]]/Table1[[#This Row],[Net_Daily_Intake]]</f>
        <v>-221</v>
      </c>
      <c r="P228" t="str">
        <f>IF(Table1[[#This Row],[Change_in_Net_Daily_Intake]]&gt;0,"Sustained Positive","Negative")</f>
        <v>Negative</v>
      </c>
      <c r="Q228" s="1">
        <f>(Table1[[#This Row],[Total_System_Load]]-Table1[[#This Row],[Total_Children_Under_Care]])/Table1[[#This Row],[Total_Children_Under_Care]]*100</f>
        <v>5.0291747707696581</v>
      </c>
      <c r="R228" s="1">
        <f>(Table1[[#This Row],[Children_discharged _from_HHS_ Care]]/Table1[[#This Row],[Children_transferred_out_of_CBP_custody]])</f>
        <v>1.6926829268292682</v>
      </c>
    </row>
    <row r="229" spans="1:18" x14ac:dyDescent="0.3">
      <c r="A229">
        <v>228</v>
      </c>
      <c r="B229" s="7">
        <v>45286</v>
      </c>
      <c r="C229" s="5">
        <v>56</v>
      </c>
      <c r="D229" s="5">
        <v>82</v>
      </c>
      <c r="E229" s="5">
        <v>68</v>
      </c>
      <c r="F229" s="5">
        <v>11217</v>
      </c>
      <c r="G229" s="5">
        <v>288</v>
      </c>
      <c r="H229" t="str">
        <f t="shared" si="16"/>
        <v>Valid</v>
      </c>
      <c r="I229" t="str">
        <f t="shared" si="17"/>
        <v>Valid</v>
      </c>
      <c r="J229" s="5">
        <f t="shared" si="18"/>
        <v>10929</v>
      </c>
      <c r="K229" s="5">
        <f t="shared" si="19"/>
        <v>11299</v>
      </c>
      <c r="L229" s="5">
        <f>IF(Table1[[#This Row],[Total_System_Load]]&gt;80%*AVERAGE(Table1[Total_System_Load]),Table1[[#This Row],[Total_System_Load]]-Table1[[#This Row],[Total_Children_Under_Care]],0)</f>
        <v>370</v>
      </c>
      <c r="M229" s="5">
        <f t="shared" si="15"/>
        <v>-220</v>
      </c>
      <c r="N229" s="5">
        <f>M230-Table1[[#This Row],[Net_Daily_Intake]]</f>
        <v>-35</v>
      </c>
      <c r="O229" s="5">
        <f>M230-Table1[[#This Row],[Net_Daily_Intake]]/Table1[[#This Row],[Net_Daily_Intake]]</f>
        <v>-256</v>
      </c>
      <c r="P229" t="str">
        <f>IF(Table1[[#This Row],[Change_in_Net_Daily_Intake]]&gt;0,"Sustained Positive","Negative")</f>
        <v>Negative</v>
      </c>
      <c r="Q229" s="1">
        <f>(Table1[[#This Row],[Total_System_Load]]-Table1[[#This Row],[Total_Children_Under_Care]])/Table1[[#This Row],[Total_Children_Under_Care]]*100</f>
        <v>3.3854881507914723</v>
      </c>
      <c r="R229" s="1">
        <f>(Table1[[#This Row],[Children_discharged _from_HHS_ Care]]/Table1[[#This Row],[Children_transferred_out_of_CBP_custody]])</f>
        <v>4.2352941176470589</v>
      </c>
    </row>
    <row r="230" spans="1:18" x14ac:dyDescent="0.3">
      <c r="A230">
        <v>229</v>
      </c>
      <c r="B230" s="7">
        <v>45287</v>
      </c>
      <c r="C230" s="5">
        <v>74</v>
      </c>
      <c r="D230" s="5">
        <v>103</v>
      </c>
      <c r="E230" s="5">
        <v>80</v>
      </c>
      <c r="F230" s="5">
        <v>11206</v>
      </c>
      <c r="G230" s="5">
        <v>335</v>
      </c>
      <c r="H230" t="str">
        <f t="shared" si="16"/>
        <v>Valid</v>
      </c>
      <c r="I230" t="str">
        <f t="shared" si="17"/>
        <v>Valid</v>
      </c>
      <c r="J230" s="5">
        <f t="shared" si="18"/>
        <v>10871</v>
      </c>
      <c r="K230" s="5">
        <f t="shared" si="19"/>
        <v>11309</v>
      </c>
      <c r="L230" s="5">
        <f>IF(Table1[[#This Row],[Total_System_Load]]&gt;80%*AVERAGE(Table1[Total_System_Load]),Table1[[#This Row],[Total_System_Load]]-Table1[[#This Row],[Total_Children_Under_Care]],0)</f>
        <v>438</v>
      </c>
      <c r="M230" s="5">
        <f t="shared" si="15"/>
        <v>-255</v>
      </c>
      <c r="N230" s="5">
        <f>M231-Table1[[#This Row],[Net_Daily_Intake]]</f>
        <v>0</v>
      </c>
      <c r="O230" s="5">
        <f>M231-Table1[[#This Row],[Net_Daily_Intake]]/Table1[[#This Row],[Net_Daily_Intake]]</f>
        <v>-256</v>
      </c>
      <c r="P230" t="str">
        <f>IF(Table1[[#This Row],[Change_in_Net_Daily_Intake]]&gt;0,"Sustained Positive","Negative")</f>
        <v>Negative</v>
      </c>
      <c r="Q230" s="1">
        <f>(Table1[[#This Row],[Total_System_Load]]-Table1[[#This Row],[Total_Children_Under_Care]])/Table1[[#This Row],[Total_Children_Under_Care]]*100</f>
        <v>4.029068163002484</v>
      </c>
      <c r="R230" s="1">
        <f>(Table1[[#This Row],[Children_discharged _from_HHS_ Care]]/Table1[[#This Row],[Children_transferred_out_of_CBP_custody]])</f>
        <v>4.1875</v>
      </c>
    </row>
    <row r="231" spans="1:18" x14ac:dyDescent="0.3">
      <c r="A231">
        <v>230</v>
      </c>
      <c r="B231" s="7">
        <v>45288</v>
      </c>
      <c r="C231" s="5">
        <v>68</v>
      </c>
      <c r="D231" s="5">
        <v>107</v>
      </c>
      <c r="E231" s="5">
        <v>102</v>
      </c>
      <c r="F231" s="5">
        <v>11230</v>
      </c>
      <c r="G231" s="5">
        <v>357</v>
      </c>
      <c r="H231" t="str">
        <f t="shared" si="16"/>
        <v>Valid</v>
      </c>
      <c r="I231" t="str">
        <f t="shared" si="17"/>
        <v>Valid</v>
      </c>
      <c r="J231" s="5">
        <f t="shared" si="18"/>
        <v>10873</v>
      </c>
      <c r="K231" s="5">
        <f t="shared" si="19"/>
        <v>11337</v>
      </c>
      <c r="L231" s="5">
        <f>IF(Table1[[#This Row],[Total_System_Load]]&gt;80%*AVERAGE(Table1[Total_System_Load]),Table1[[#This Row],[Total_System_Load]]-Table1[[#This Row],[Total_Children_Under_Care]],0)</f>
        <v>464</v>
      </c>
      <c r="M231" s="5">
        <f t="shared" si="15"/>
        <v>-255</v>
      </c>
      <c r="N231" s="5">
        <f>M232-Table1[[#This Row],[Net_Daily_Intake]]</f>
        <v>58</v>
      </c>
      <c r="O231" s="5">
        <f>M232-Table1[[#This Row],[Net_Daily_Intake]]/Table1[[#This Row],[Net_Daily_Intake]]</f>
        <v>-198</v>
      </c>
      <c r="P231" t="str">
        <f>IF(Table1[[#This Row],[Change_in_Net_Daily_Intake]]&gt;0,"Sustained Positive","Negative")</f>
        <v>Sustained Positive</v>
      </c>
      <c r="Q231" s="1">
        <f>(Table1[[#This Row],[Total_System_Load]]-Table1[[#This Row],[Total_Children_Under_Care]])/Table1[[#This Row],[Total_Children_Under_Care]]*100</f>
        <v>4.2674514853306356</v>
      </c>
      <c r="R231" s="1">
        <f>(Table1[[#This Row],[Children_discharged _from_HHS_ Care]]/Table1[[#This Row],[Children_transferred_out_of_CBP_custody]])</f>
        <v>3.5</v>
      </c>
    </row>
    <row r="232" spans="1:18" x14ac:dyDescent="0.3">
      <c r="A232">
        <v>231</v>
      </c>
      <c r="B232" s="7">
        <v>45292</v>
      </c>
      <c r="C232" s="5">
        <v>92</v>
      </c>
      <c r="D232" s="5">
        <v>124</v>
      </c>
      <c r="E232" s="5">
        <v>93</v>
      </c>
      <c r="F232" s="5">
        <v>10870</v>
      </c>
      <c r="G232" s="5">
        <v>290</v>
      </c>
      <c r="H232" t="str">
        <f t="shared" si="16"/>
        <v>Valid</v>
      </c>
      <c r="I232" t="str">
        <f t="shared" si="17"/>
        <v>Valid</v>
      </c>
      <c r="J232" s="5">
        <f t="shared" si="18"/>
        <v>10580</v>
      </c>
      <c r="K232" s="5">
        <f t="shared" si="19"/>
        <v>10994</v>
      </c>
      <c r="L232" s="5">
        <f>IF(Table1[[#This Row],[Total_System_Load]]&gt;80%*AVERAGE(Table1[Total_System_Load]),Table1[[#This Row],[Total_System_Load]]-Table1[[#This Row],[Total_Children_Under_Care]],0)</f>
        <v>414</v>
      </c>
      <c r="M232" s="5">
        <f t="shared" si="15"/>
        <v>-197</v>
      </c>
      <c r="N232" s="5">
        <f>M233-Table1[[#This Row],[Net_Daily_Intake]]</f>
        <v>-12</v>
      </c>
      <c r="O232" s="5">
        <f>M233-Table1[[#This Row],[Net_Daily_Intake]]/Table1[[#This Row],[Net_Daily_Intake]]</f>
        <v>-210</v>
      </c>
      <c r="P232" t="str">
        <f>IF(Table1[[#This Row],[Change_in_Net_Daily_Intake]]&gt;0,"Sustained Positive","Negative")</f>
        <v>Negative</v>
      </c>
      <c r="Q232" s="1">
        <f>(Table1[[#This Row],[Total_System_Load]]-Table1[[#This Row],[Total_Children_Under_Care]])/Table1[[#This Row],[Total_Children_Under_Care]]*100</f>
        <v>3.9130434782608701</v>
      </c>
      <c r="R232" s="1">
        <f>(Table1[[#This Row],[Children_discharged _from_HHS_ Care]]/Table1[[#This Row],[Children_transferred_out_of_CBP_custody]])</f>
        <v>3.118279569892473</v>
      </c>
    </row>
    <row r="233" spans="1:18" x14ac:dyDescent="0.3">
      <c r="A233">
        <v>232</v>
      </c>
      <c r="B233" s="7">
        <v>45293</v>
      </c>
      <c r="C233" s="5">
        <v>113</v>
      </c>
      <c r="D233" s="5">
        <v>162</v>
      </c>
      <c r="E233" s="5">
        <v>107</v>
      </c>
      <c r="F233" s="5">
        <v>10770</v>
      </c>
      <c r="G233" s="5">
        <v>316</v>
      </c>
      <c r="H233" t="str">
        <f t="shared" si="16"/>
        <v>Valid</v>
      </c>
      <c r="I233" t="str">
        <f t="shared" si="17"/>
        <v>Valid</v>
      </c>
      <c r="J233" s="5">
        <f t="shared" si="18"/>
        <v>10454</v>
      </c>
      <c r="K233" s="5">
        <f t="shared" si="19"/>
        <v>10932</v>
      </c>
      <c r="L233" s="5">
        <f>IF(Table1[[#This Row],[Total_System_Load]]&gt;80%*AVERAGE(Table1[Total_System_Load]),Table1[[#This Row],[Total_System_Load]]-Table1[[#This Row],[Total_Children_Under_Care]],0)</f>
        <v>478</v>
      </c>
      <c r="M233" s="5">
        <f t="shared" si="15"/>
        <v>-209</v>
      </c>
      <c r="N233" s="5">
        <f>M234-Table1[[#This Row],[Net_Daily_Intake]]</f>
        <v>77</v>
      </c>
      <c r="O233" s="5">
        <f>M234-Table1[[#This Row],[Net_Daily_Intake]]/Table1[[#This Row],[Net_Daily_Intake]]</f>
        <v>-133</v>
      </c>
      <c r="P233" t="str">
        <f>IF(Table1[[#This Row],[Change_in_Net_Daily_Intake]]&gt;0,"Sustained Positive","Negative")</f>
        <v>Sustained Positive</v>
      </c>
      <c r="Q233" s="1">
        <f>(Table1[[#This Row],[Total_System_Load]]-Table1[[#This Row],[Total_Children_Under_Care]])/Table1[[#This Row],[Total_Children_Under_Care]]*100</f>
        <v>4.5724124736942793</v>
      </c>
      <c r="R233" s="1">
        <f>(Table1[[#This Row],[Children_discharged _from_HHS_ Care]]/Table1[[#This Row],[Children_transferred_out_of_CBP_custody]])</f>
        <v>2.9532710280373831</v>
      </c>
    </row>
    <row r="234" spans="1:18" x14ac:dyDescent="0.3">
      <c r="A234">
        <v>233</v>
      </c>
      <c r="B234" s="7">
        <v>45294</v>
      </c>
      <c r="C234" s="5">
        <v>106</v>
      </c>
      <c r="D234" s="5">
        <v>196</v>
      </c>
      <c r="E234" s="5">
        <v>131</v>
      </c>
      <c r="F234" s="5">
        <v>10718</v>
      </c>
      <c r="G234" s="5">
        <v>263</v>
      </c>
      <c r="H234" t="str">
        <f t="shared" si="16"/>
        <v>Valid</v>
      </c>
      <c r="I234" t="str">
        <f t="shared" si="17"/>
        <v>Valid</v>
      </c>
      <c r="J234" s="5">
        <f t="shared" si="18"/>
        <v>10455</v>
      </c>
      <c r="K234" s="5">
        <f t="shared" si="19"/>
        <v>10914</v>
      </c>
      <c r="L234" s="5">
        <f>IF(Table1[[#This Row],[Total_System_Load]]&gt;80%*AVERAGE(Table1[Total_System_Load]),Table1[[#This Row],[Total_System_Load]]-Table1[[#This Row],[Total_Children_Under_Care]],0)</f>
        <v>459</v>
      </c>
      <c r="M234" s="5">
        <f t="shared" si="15"/>
        <v>-132</v>
      </c>
      <c r="N234" s="5">
        <f>M235-Table1[[#This Row],[Net_Daily_Intake]]</f>
        <v>-62</v>
      </c>
      <c r="O234" s="5">
        <f>M235-Table1[[#This Row],[Net_Daily_Intake]]/Table1[[#This Row],[Net_Daily_Intake]]</f>
        <v>-195</v>
      </c>
      <c r="P234" t="str">
        <f>IF(Table1[[#This Row],[Change_in_Net_Daily_Intake]]&gt;0,"Sustained Positive","Negative")</f>
        <v>Negative</v>
      </c>
      <c r="Q234" s="1">
        <f>(Table1[[#This Row],[Total_System_Load]]-Table1[[#This Row],[Total_Children_Under_Care]])/Table1[[#This Row],[Total_Children_Under_Care]]*100</f>
        <v>4.3902439024390238</v>
      </c>
      <c r="R234" s="1">
        <f>(Table1[[#This Row],[Children_discharged _from_HHS_ Care]]/Table1[[#This Row],[Children_transferred_out_of_CBP_custody]])</f>
        <v>2.0076335877862594</v>
      </c>
    </row>
    <row r="235" spans="1:18" x14ac:dyDescent="0.3">
      <c r="A235">
        <v>234</v>
      </c>
      <c r="B235" s="7">
        <v>45295</v>
      </c>
      <c r="C235" s="5">
        <v>86</v>
      </c>
      <c r="D235" s="5">
        <v>152</v>
      </c>
      <c r="E235" s="5">
        <v>168</v>
      </c>
      <c r="F235" s="5">
        <v>10558</v>
      </c>
      <c r="G235" s="5">
        <v>362</v>
      </c>
      <c r="H235" t="str">
        <f t="shared" si="16"/>
        <v>Invalid</v>
      </c>
      <c r="I235" t="str">
        <f t="shared" si="17"/>
        <v>Valid</v>
      </c>
      <c r="J235" s="5">
        <f t="shared" si="18"/>
        <v>10196</v>
      </c>
      <c r="K235" s="5">
        <f t="shared" si="19"/>
        <v>10710</v>
      </c>
      <c r="L235" s="5">
        <f>IF(Table1[[#This Row],[Total_System_Load]]&gt;80%*AVERAGE(Table1[Total_System_Load]),Table1[[#This Row],[Total_System_Load]]-Table1[[#This Row],[Total_Children_Under_Care]],0)</f>
        <v>514</v>
      </c>
      <c r="M235" s="5">
        <f t="shared" si="15"/>
        <v>-194</v>
      </c>
      <c r="N235" s="5">
        <f>M236-Table1[[#This Row],[Net_Daily_Intake]]</f>
        <v>-37</v>
      </c>
      <c r="O235" s="5">
        <f>M236-Table1[[#This Row],[Net_Daily_Intake]]/Table1[[#This Row],[Net_Daily_Intake]]</f>
        <v>-232</v>
      </c>
      <c r="P235" t="str">
        <f>IF(Table1[[#This Row],[Change_in_Net_Daily_Intake]]&gt;0,"Sustained Positive","Negative")</f>
        <v>Negative</v>
      </c>
      <c r="Q235" s="1">
        <f>(Table1[[#This Row],[Total_System_Load]]-Table1[[#This Row],[Total_Children_Under_Care]])/Table1[[#This Row],[Total_Children_Under_Care]]*100</f>
        <v>5.0411926245586507</v>
      </c>
      <c r="R235" s="1">
        <f>(Table1[[#This Row],[Children_discharged _from_HHS_ Care]]/Table1[[#This Row],[Children_transferred_out_of_CBP_custody]])</f>
        <v>2.1547619047619047</v>
      </c>
    </row>
    <row r="236" spans="1:18" x14ac:dyDescent="0.3">
      <c r="A236">
        <v>235</v>
      </c>
      <c r="B236" s="7">
        <v>45298</v>
      </c>
      <c r="C236" s="5">
        <v>84</v>
      </c>
      <c r="D236" s="5">
        <v>118</v>
      </c>
      <c r="E236" s="5">
        <v>136</v>
      </c>
      <c r="F236" s="5">
        <v>9670</v>
      </c>
      <c r="G236" s="5">
        <v>367</v>
      </c>
      <c r="H236" t="str">
        <f t="shared" si="16"/>
        <v>Invalid</v>
      </c>
      <c r="I236" t="str">
        <f t="shared" si="17"/>
        <v>Valid</v>
      </c>
      <c r="J236" s="5">
        <f t="shared" si="18"/>
        <v>9303</v>
      </c>
      <c r="K236" s="5">
        <f t="shared" si="19"/>
        <v>9788</v>
      </c>
      <c r="L236" s="5">
        <f>IF(Table1[[#This Row],[Total_System_Load]]&gt;80%*AVERAGE(Table1[Total_System_Load]),Table1[[#This Row],[Total_System_Load]]-Table1[[#This Row],[Total_Children_Under_Care]],0)</f>
        <v>485</v>
      </c>
      <c r="M236" s="5">
        <f t="shared" si="15"/>
        <v>-231</v>
      </c>
      <c r="N236" s="5">
        <f>M237-Table1[[#This Row],[Net_Daily_Intake]]</f>
        <v>-19</v>
      </c>
      <c r="O236" s="5">
        <f>M237-Table1[[#This Row],[Net_Daily_Intake]]/Table1[[#This Row],[Net_Daily_Intake]]</f>
        <v>-251</v>
      </c>
      <c r="P236" t="str">
        <f>IF(Table1[[#This Row],[Change_in_Net_Daily_Intake]]&gt;0,"Sustained Positive","Negative")</f>
        <v>Negative</v>
      </c>
      <c r="Q236" s="1">
        <f>(Table1[[#This Row],[Total_System_Load]]-Table1[[#This Row],[Total_Children_Under_Care]])/Table1[[#This Row],[Total_Children_Under_Care]]*100</f>
        <v>5.2133720305277871</v>
      </c>
      <c r="R236" s="1">
        <f>(Table1[[#This Row],[Children_discharged _from_HHS_ Care]]/Table1[[#This Row],[Children_transferred_out_of_CBP_custody]])</f>
        <v>2.6985294117647061</v>
      </c>
    </row>
    <row r="237" spans="1:18" x14ac:dyDescent="0.3">
      <c r="A237">
        <v>236</v>
      </c>
      <c r="B237" s="7">
        <v>45299</v>
      </c>
      <c r="C237" s="5">
        <v>59</v>
      </c>
      <c r="D237" s="5">
        <v>64</v>
      </c>
      <c r="E237" s="5">
        <v>117</v>
      </c>
      <c r="F237" s="5">
        <v>9670</v>
      </c>
      <c r="G237" s="5">
        <v>367</v>
      </c>
      <c r="H237" t="str">
        <f t="shared" si="16"/>
        <v>Invalid</v>
      </c>
      <c r="I237" t="str">
        <f t="shared" si="17"/>
        <v>Valid</v>
      </c>
      <c r="J237" s="5">
        <f t="shared" si="18"/>
        <v>9303</v>
      </c>
      <c r="K237" s="5">
        <f t="shared" si="19"/>
        <v>9734</v>
      </c>
      <c r="L237" s="5">
        <f>IF(Table1[[#This Row],[Total_System_Load]]&gt;80%*AVERAGE(Table1[Total_System_Load]),Table1[[#This Row],[Total_System_Load]]-Table1[[#This Row],[Total_Children_Under_Care]],0)</f>
        <v>431</v>
      </c>
      <c r="M237" s="5">
        <f t="shared" si="15"/>
        <v>-250</v>
      </c>
      <c r="N237" s="5">
        <f>M238-Table1[[#This Row],[Net_Daily_Intake]]</f>
        <v>16</v>
      </c>
      <c r="O237" s="5">
        <f>M238-Table1[[#This Row],[Net_Daily_Intake]]/Table1[[#This Row],[Net_Daily_Intake]]</f>
        <v>-235</v>
      </c>
      <c r="P237" t="str">
        <f>IF(Table1[[#This Row],[Change_in_Net_Daily_Intake]]&gt;0,"Sustained Positive","Negative")</f>
        <v>Sustained Positive</v>
      </c>
      <c r="Q237" s="1">
        <f>(Table1[[#This Row],[Total_System_Load]]-Table1[[#This Row],[Total_Children_Under_Care]])/Table1[[#This Row],[Total_Children_Under_Care]]*100</f>
        <v>4.6329141137267547</v>
      </c>
      <c r="R237" s="1">
        <f>(Table1[[#This Row],[Children_discharged _from_HHS_ Care]]/Table1[[#This Row],[Children_transferred_out_of_CBP_custody]])</f>
        <v>3.1367521367521367</v>
      </c>
    </row>
    <row r="238" spans="1:18" x14ac:dyDescent="0.3">
      <c r="A238">
        <v>237</v>
      </c>
      <c r="B238" s="7">
        <v>45300</v>
      </c>
      <c r="C238" s="5">
        <v>62</v>
      </c>
      <c r="D238" s="5">
        <v>97</v>
      </c>
      <c r="E238" s="5">
        <v>52</v>
      </c>
      <c r="F238" s="5">
        <v>9311</v>
      </c>
      <c r="G238" s="5">
        <v>286</v>
      </c>
      <c r="H238" t="str">
        <f t="shared" si="16"/>
        <v>Valid</v>
      </c>
      <c r="I238" t="str">
        <f t="shared" si="17"/>
        <v>Valid</v>
      </c>
      <c r="J238" s="5">
        <f t="shared" si="18"/>
        <v>9025</v>
      </c>
      <c r="K238" s="5">
        <f t="shared" si="19"/>
        <v>9408</v>
      </c>
      <c r="L238" s="5">
        <f>IF(Table1[[#This Row],[Total_System_Load]]&gt;80%*AVERAGE(Table1[Total_System_Load]),Table1[[#This Row],[Total_System_Load]]-Table1[[#This Row],[Total_Children_Under_Care]],0)</f>
        <v>383</v>
      </c>
      <c r="M238" s="5">
        <f t="shared" si="15"/>
        <v>-234</v>
      </c>
      <c r="N238" s="5">
        <f>M239-Table1[[#This Row],[Net_Daily_Intake]]</f>
        <v>-18</v>
      </c>
      <c r="O238" s="5">
        <f>M239-Table1[[#This Row],[Net_Daily_Intake]]/Table1[[#This Row],[Net_Daily_Intake]]</f>
        <v>-253</v>
      </c>
      <c r="P238" t="str">
        <f>IF(Table1[[#This Row],[Change_in_Net_Daily_Intake]]&gt;0,"Sustained Positive","Negative")</f>
        <v>Negative</v>
      </c>
      <c r="Q238" s="1">
        <f>(Table1[[#This Row],[Total_System_Load]]-Table1[[#This Row],[Total_Children_Under_Care]])/Table1[[#This Row],[Total_Children_Under_Care]]*100</f>
        <v>4.2437673130193909</v>
      </c>
      <c r="R238" s="1">
        <f>(Table1[[#This Row],[Children_discharged _from_HHS_ Care]]/Table1[[#This Row],[Children_transferred_out_of_CBP_custody]])</f>
        <v>5.5</v>
      </c>
    </row>
    <row r="239" spans="1:18" x14ac:dyDescent="0.3">
      <c r="A239">
        <v>238</v>
      </c>
      <c r="B239" s="7">
        <v>45301</v>
      </c>
      <c r="C239" s="5">
        <v>91</v>
      </c>
      <c r="D239" s="5">
        <v>75</v>
      </c>
      <c r="E239" s="5">
        <v>97</v>
      </c>
      <c r="F239" s="5">
        <v>9144</v>
      </c>
      <c r="G239" s="5">
        <v>349</v>
      </c>
      <c r="H239" t="str">
        <f t="shared" si="16"/>
        <v>Invalid</v>
      </c>
      <c r="I239" t="str">
        <f t="shared" si="17"/>
        <v>Valid</v>
      </c>
      <c r="J239" s="5">
        <f t="shared" si="18"/>
        <v>8795</v>
      </c>
      <c r="K239" s="5">
        <f t="shared" si="19"/>
        <v>9219</v>
      </c>
      <c r="L239" s="5">
        <f>IF(Table1[[#This Row],[Total_System_Load]]&gt;80%*AVERAGE(Table1[Total_System_Load]),Table1[[#This Row],[Total_System_Load]]-Table1[[#This Row],[Total_Children_Under_Care]],0)</f>
        <v>424</v>
      </c>
      <c r="M239" s="5">
        <f t="shared" si="15"/>
        <v>-252</v>
      </c>
      <c r="N239" s="5">
        <f>M240-Table1[[#This Row],[Net_Daily_Intake]]</f>
        <v>-213</v>
      </c>
      <c r="O239" s="5">
        <f>M240-Table1[[#This Row],[Net_Daily_Intake]]/Table1[[#This Row],[Net_Daily_Intake]]</f>
        <v>-466</v>
      </c>
      <c r="P239" t="str">
        <f>IF(Table1[[#This Row],[Change_in_Net_Daily_Intake]]&gt;0,"Sustained Positive","Negative")</f>
        <v>Negative</v>
      </c>
      <c r="Q239" s="1">
        <f>(Table1[[#This Row],[Total_System_Load]]-Table1[[#This Row],[Total_Children_Under_Care]])/Table1[[#This Row],[Total_Children_Under_Care]]*100</f>
        <v>4.8209209778283117</v>
      </c>
      <c r="R239" s="1">
        <f>(Table1[[#This Row],[Children_discharged _from_HHS_ Care]]/Table1[[#This Row],[Children_transferred_out_of_CBP_custody]])</f>
        <v>3.597938144329897</v>
      </c>
    </row>
    <row r="240" spans="1:18" x14ac:dyDescent="0.3">
      <c r="A240">
        <v>239</v>
      </c>
      <c r="B240" s="7">
        <v>45302</v>
      </c>
      <c r="C240" s="5">
        <v>29</v>
      </c>
      <c r="D240" s="5">
        <v>51</v>
      </c>
      <c r="E240" s="5">
        <v>11</v>
      </c>
      <c r="F240" s="5">
        <v>8829</v>
      </c>
      <c r="G240" s="5">
        <v>476</v>
      </c>
      <c r="H240" t="str">
        <f t="shared" si="16"/>
        <v>Valid</v>
      </c>
      <c r="I240" t="str">
        <f t="shared" si="17"/>
        <v>Valid</v>
      </c>
      <c r="J240" s="5">
        <f t="shared" si="18"/>
        <v>8353</v>
      </c>
      <c r="K240" s="5">
        <f t="shared" si="19"/>
        <v>8880</v>
      </c>
      <c r="L240" s="5">
        <f>IF(Table1[[#This Row],[Total_System_Load]]&gt;80%*AVERAGE(Table1[Total_System_Load]),Table1[[#This Row],[Total_System_Load]]-Table1[[#This Row],[Total_Children_Under_Care]],0)</f>
        <v>527</v>
      </c>
      <c r="M240" s="5">
        <f t="shared" si="15"/>
        <v>-465</v>
      </c>
      <c r="N240" s="5">
        <f>M241-Table1[[#This Row],[Net_Daily_Intake]]</f>
        <v>265</v>
      </c>
      <c r="O240" s="5">
        <f>M241-Table1[[#This Row],[Net_Daily_Intake]]/Table1[[#This Row],[Net_Daily_Intake]]</f>
        <v>-201</v>
      </c>
      <c r="P240" t="str">
        <f>IF(Table1[[#This Row],[Change_in_Net_Daily_Intake]]&gt;0,"Sustained Positive","Negative")</f>
        <v>Sustained Positive</v>
      </c>
      <c r="Q240" s="1">
        <f>(Table1[[#This Row],[Total_System_Load]]-Table1[[#This Row],[Total_Children_Under_Care]])/Table1[[#This Row],[Total_Children_Under_Care]]*100</f>
        <v>6.3091104992218359</v>
      </c>
      <c r="R240" s="1">
        <f>(Table1[[#This Row],[Children_discharged _from_HHS_ Care]]/Table1[[#This Row],[Children_transferred_out_of_CBP_custody]])</f>
        <v>43.272727272727273</v>
      </c>
    </row>
    <row r="241" spans="1:18" x14ac:dyDescent="0.3">
      <c r="A241">
        <v>240</v>
      </c>
      <c r="B241" s="7">
        <v>45306</v>
      </c>
      <c r="C241" s="5">
        <v>33</v>
      </c>
      <c r="D241" s="5">
        <v>53</v>
      </c>
      <c r="E241" s="5">
        <v>34</v>
      </c>
      <c r="F241" s="5">
        <v>8033</v>
      </c>
      <c r="G241" s="5">
        <v>234</v>
      </c>
      <c r="H241" t="str">
        <f t="shared" si="16"/>
        <v>Valid</v>
      </c>
      <c r="I241" t="str">
        <f t="shared" si="17"/>
        <v>Valid</v>
      </c>
      <c r="J241" s="5">
        <f t="shared" si="18"/>
        <v>7799</v>
      </c>
      <c r="K241" s="5">
        <f t="shared" si="19"/>
        <v>8086</v>
      </c>
      <c r="L241" s="5">
        <f>IF(Table1[[#This Row],[Total_System_Load]]&gt;80%*AVERAGE(Table1[Total_System_Load]),Table1[[#This Row],[Total_System_Load]]-Table1[[#This Row],[Total_Children_Under_Care]],0)</f>
        <v>287</v>
      </c>
      <c r="M241" s="5">
        <f t="shared" si="15"/>
        <v>-200</v>
      </c>
      <c r="N241" s="5">
        <f>M242-Table1[[#This Row],[Net_Daily_Intake]]</f>
        <v>51</v>
      </c>
      <c r="O241" s="5">
        <f>M242-Table1[[#This Row],[Net_Daily_Intake]]/Table1[[#This Row],[Net_Daily_Intake]]</f>
        <v>-150</v>
      </c>
      <c r="P241" t="str">
        <f>IF(Table1[[#This Row],[Change_in_Net_Daily_Intake]]&gt;0,"Sustained Positive","Negative")</f>
        <v>Sustained Positive</v>
      </c>
      <c r="Q241" s="1">
        <f>(Table1[[#This Row],[Total_System_Load]]-Table1[[#This Row],[Total_Children_Under_Care]])/Table1[[#This Row],[Total_Children_Under_Care]]*100</f>
        <v>3.6799589690986028</v>
      </c>
      <c r="R241" s="1">
        <f>(Table1[[#This Row],[Children_discharged _from_HHS_ Care]]/Table1[[#This Row],[Children_transferred_out_of_CBP_custody]])</f>
        <v>6.882352941176471</v>
      </c>
    </row>
    <row r="242" spans="1:18" x14ac:dyDescent="0.3">
      <c r="A242">
        <v>241</v>
      </c>
      <c r="B242" s="7">
        <v>45307</v>
      </c>
      <c r="C242" s="5">
        <v>32</v>
      </c>
      <c r="D242" s="5">
        <v>49</v>
      </c>
      <c r="E242" s="5">
        <v>39</v>
      </c>
      <c r="F242" s="5">
        <v>8133</v>
      </c>
      <c r="G242" s="5">
        <v>188</v>
      </c>
      <c r="H242" t="str">
        <f t="shared" si="16"/>
        <v>Valid</v>
      </c>
      <c r="I242" t="str">
        <f t="shared" si="17"/>
        <v>Valid</v>
      </c>
      <c r="J242" s="5">
        <f t="shared" si="18"/>
        <v>7945</v>
      </c>
      <c r="K242" s="5">
        <f t="shared" si="19"/>
        <v>8182</v>
      </c>
      <c r="L242" s="5">
        <f>IF(Table1[[#This Row],[Total_System_Load]]&gt;80%*AVERAGE(Table1[Total_System_Load]),Table1[[#This Row],[Total_System_Load]]-Table1[[#This Row],[Total_Children_Under_Care]],0)</f>
        <v>237</v>
      </c>
      <c r="M242" s="5">
        <f t="shared" si="15"/>
        <v>-149</v>
      </c>
      <c r="N242" s="5">
        <f>M243-Table1[[#This Row],[Net_Daily_Intake]]</f>
        <v>-79</v>
      </c>
      <c r="O242" s="5">
        <f>M243-Table1[[#This Row],[Net_Daily_Intake]]/Table1[[#This Row],[Net_Daily_Intake]]</f>
        <v>-229</v>
      </c>
      <c r="P242" t="str">
        <f>IF(Table1[[#This Row],[Change_in_Net_Daily_Intake]]&gt;0,"Sustained Positive","Negative")</f>
        <v>Negative</v>
      </c>
      <c r="Q242" s="1">
        <f>(Table1[[#This Row],[Total_System_Load]]-Table1[[#This Row],[Total_Children_Under_Care]])/Table1[[#This Row],[Total_Children_Under_Care]]*100</f>
        <v>2.9830081812460665</v>
      </c>
      <c r="R242" s="1">
        <f>(Table1[[#This Row],[Children_discharged _from_HHS_ Care]]/Table1[[#This Row],[Children_transferred_out_of_CBP_custody]])</f>
        <v>4.8205128205128203</v>
      </c>
    </row>
    <row r="243" spans="1:18" x14ac:dyDescent="0.3">
      <c r="A243">
        <v>242</v>
      </c>
      <c r="B243" s="7">
        <v>45308</v>
      </c>
      <c r="C243" s="5">
        <v>80</v>
      </c>
      <c r="D243" s="5">
        <v>176</v>
      </c>
      <c r="E243" s="5">
        <v>125</v>
      </c>
      <c r="F243" s="5">
        <v>8072</v>
      </c>
      <c r="G243" s="5">
        <v>353</v>
      </c>
      <c r="H243" t="str">
        <f t="shared" si="16"/>
        <v>Valid</v>
      </c>
      <c r="I243" t="str">
        <f t="shared" si="17"/>
        <v>Valid</v>
      </c>
      <c r="J243" s="5">
        <f t="shared" si="18"/>
        <v>7719</v>
      </c>
      <c r="K243" s="5">
        <f t="shared" si="19"/>
        <v>8248</v>
      </c>
      <c r="L243" s="5">
        <f>IF(Table1[[#This Row],[Total_System_Load]]&gt;80%*AVERAGE(Table1[Total_System_Load]),Table1[[#This Row],[Total_System_Load]]-Table1[[#This Row],[Total_Children_Under_Care]],0)</f>
        <v>529</v>
      </c>
      <c r="M243" s="5">
        <f t="shared" si="15"/>
        <v>-228</v>
      </c>
      <c r="N243" s="5">
        <f>M244-Table1[[#This Row],[Net_Daily_Intake]]</f>
        <v>33</v>
      </c>
      <c r="O243" s="5">
        <f>M244-Table1[[#This Row],[Net_Daily_Intake]]/Table1[[#This Row],[Net_Daily_Intake]]</f>
        <v>-196</v>
      </c>
      <c r="P243" t="str">
        <f>IF(Table1[[#This Row],[Change_in_Net_Daily_Intake]]&gt;0,"Sustained Positive","Negative")</f>
        <v>Sustained Positive</v>
      </c>
      <c r="Q243" s="1">
        <f>(Table1[[#This Row],[Total_System_Load]]-Table1[[#This Row],[Total_Children_Under_Care]])/Table1[[#This Row],[Total_Children_Under_Care]]*100</f>
        <v>6.8532193289286187</v>
      </c>
      <c r="R243" s="1">
        <f>(Table1[[#This Row],[Children_discharged _from_HHS_ Care]]/Table1[[#This Row],[Children_transferred_out_of_CBP_custody]])</f>
        <v>2.8239999999999998</v>
      </c>
    </row>
    <row r="244" spans="1:18" x14ac:dyDescent="0.3">
      <c r="A244">
        <v>243</v>
      </c>
      <c r="B244" s="7">
        <v>45309</v>
      </c>
      <c r="C244" s="5">
        <v>116</v>
      </c>
      <c r="D244" s="5">
        <v>188</v>
      </c>
      <c r="E244" s="5">
        <v>164</v>
      </c>
      <c r="F244" s="5">
        <v>8042</v>
      </c>
      <c r="G244" s="5">
        <v>359</v>
      </c>
      <c r="H244" t="str">
        <f t="shared" si="16"/>
        <v>Valid</v>
      </c>
      <c r="I244" t="str">
        <f t="shared" si="17"/>
        <v>Valid</v>
      </c>
      <c r="J244" s="5">
        <f t="shared" si="18"/>
        <v>7683</v>
      </c>
      <c r="K244" s="5">
        <f t="shared" si="19"/>
        <v>8230</v>
      </c>
      <c r="L244" s="5">
        <f>IF(Table1[[#This Row],[Total_System_Load]]&gt;80%*AVERAGE(Table1[Total_System_Load]),Table1[[#This Row],[Total_System_Load]]-Table1[[#This Row],[Total_Children_Under_Care]],0)</f>
        <v>547</v>
      </c>
      <c r="M244" s="5">
        <f t="shared" si="15"/>
        <v>-195</v>
      </c>
      <c r="N244" s="5">
        <f>M245-Table1[[#This Row],[Net_Daily_Intake]]</f>
        <v>-18</v>
      </c>
      <c r="O244" s="5">
        <f>M245-Table1[[#This Row],[Net_Daily_Intake]]/Table1[[#This Row],[Net_Daily_Intake]]</f>
        <v>-214</v>
      </c>
      <c r="P244" t="str">
        <f>IF(Table1[[#This Row],[Change_in_Net_Daily_Intake]]&gt;0,"Sustained Positive","Negative")</f>
        <v>Negative</v>
      </c>
      <c r="Q244" s="1">
        <f>(Table1[[#This Row],[Total_System_Load]]-Table1[[#This Row],[Total_Children_Under_Care]])/Table1[[#This Row],[Total_Children_Under_Care]]*100</f>
        <v>7.1196147338279321</v>
      </c>
      <c r="R244" s="1">
        <f>(Table1[[#This Row],[Children_discharged _from_HHS_ Care]]/Table1[[#This Row],[Children_transferred_out_of_CBP_custody]])</f>
        <v>2.1890243902439024</v>
      </c>
    </row>
    <row r="245" spans="1:18" x14ac:dyDescent="0.3">
      <c r="A245">
        <v>244</v>
      </c>
      <c r="B245" s="7">
        <v>45312</v>
      </c>
      <c r="C245" s="5">
        <v>105</v>
      </c>
      <c r="D245" s="5">
        <v>185</v>
      </c>
      <c r="E245" s="5">
        <v>158</v>
      </c>
      <c r="F245" s="5">
        <v>7974</v>
      </c>
      <c r="G245" s="5">
        <v>371</v>
      </c>
      <c r="H245" t="str">
        <f t="shared" si="16"/>
        <v>Valid</v>
      </c>
      <c r="I245" t="str">
        <f t="shared" si="17"/>
        <v>Valid</v>
      </c>
      <c r="J245" s="5">
        <f t="shared" si="18"/>
        <v>7603</v>
      </c>
      <c r="K245" s="5">
        <f t="shared" si="19"/>
        <v>8159</v>
      </c>
      <c r="L245" s="5">
        <f>IF(Table1[[#This Row],[Total_System_Load]]&gt;80%*AVERAGE(Table1[Total_System_Load]),Table1[[#This Row],[Total_System_Load]]-Table1[[#This Row],[Total_Children_Under_Care]],0)</f>
        <v>556</v>
      </c>
      <c r="M245" s="5">
        <f t="shared" si="15"/>
        <v>-213</v>
      </c>
      <c r="N245" s="5">
        <f>M246-Table1[[#This Row],[Net_Daily_Intake]]</f>
        <v>114</v>
      </c>
      <c r="O245" s="5">
        <f>M246-Table1[[#This Row],[Net_Daily_Intake]]/Table1[[#This Row],[Net_Daily_Intake]]</f>
        <v>-100</v>
      </c>
      <c r="P245" t="str">
        <f>IF(Table1[[#This Row],[Change_in_Net_Daily_Intake]]&gt;0,"Sustained Positive","Negative")</f>
        <v>Sustained Positive</v>
      </c>
      <c r="Q245" s="1">
        <f>(Table1[[#This Row],[Total_System_Load]]-Table1[[#This Row],[Total_Children_Under_Care]])/Table1[[#This Row],[Total_Children_Under_Care]]*100</f>
        <v>7.3129028015257145</v>
      </c>
      <c r="R245" s="1">
        <f>(Table1[[#This Row],[Children_discharged _from_HHS_ Care]]/Table1[[#This Row],[Children_transferred_out_of_CBP_custody]])</f>
        <v>2.3481012658227849</v>
      </c>
    </row>
    <row r="246" spans="1:18" x14ac:dyDescent="0.3">
      <c r="A246">
        <v>245</v>
      </c>
      <c r="B246" s="7">
        <v>45313</v>
      </c>
      <c r="C246" s="5">
        <v>136</v>
      </c>
      <c r="D246" s="5">
        <v>246</v>
      </c>
      <c r="E246" s="5">
        <v>123</v>
      </c>
      <c r="F246" s="5">
        <v>8008</v>
      </c>
      <c r="G246" s="5">
        <v>222</v>
      </c>
      <c r="H246" t="str">
        <f t="shared" si="16"/>
        <v>Valid</v>
      </c>
      <c r="I246" t="str">
        <f t="shared" si="17"/>
        <v>Valid</v>
      </c>
      <c r="J246" s="5">
        <f t="shared" si="18"/>
        <v>7786</v>
      </c>
      <c r="K246" s="5">
        <f t="shared" si="19"/>
        <v>8254</v>
      </c>
      <c r="L246" s="5">
        <f>IF(Table1[[#This Row],[Total_System_Load]]&gt;80%*AVERAGE(Table1[Total_System_Load]),Table1[[#This Row],[Total_System_Load]]-Table1[[#This Row],[Total_Children_Under_Care]],0)</f>
        <v>468</v>
      </c>
      <c r="M246" s="5">
        <f t="shared" si="15"/>
        <v>-99</v>
      </c>
      <c r="N246" s="5">
        <f>M247-Table1[[#This Row],[Net_Daily_Intake]]</f>
        <v>74</v>
      </c>
      <c r="O246" s="5">
        <f>M247-Table1[[#This Row],[Net_Daily_Intake]]/Table1[[#This Row],[Net_Daily_Intake]]</f>
        <v>-26</v>
      </c>
      <c r="P246" t="str">
        <f>IF(Table1[[#This Row],[Change_in_Net_Daily_Intake]]&gt;0,"Sustained Positive","Negative")</f>
        <v>Sustained Positive</v>
      </c>
      <c r="Q246" s="1">
        <f>(Table1[[#This Row],[Total_System_Load]]-Table1[[#This Row],[Total_Children_Under_Care]])/Table1[[#This Row],[Total_Children_Under_Care]]*100</f>
        <v>6.0107885949139481</v>
      </c>
      <c r="R246" s="1">
        <f>(Table1[[#This Row],[Children_discharged _from_HHS_ Care]]/Table1[[#This Row],[Children_transferred_out_of_CBP_custody]])</f>
        <v>1.8048780487804879</v>
      </c>
    </row>
    <row r="247" spans="1:18" x14ac:dyDescent="0.3">
      <c r="A247">
        <v>246</v>
      </c>
      <c r="B247" s="7">
        <v>45314</v>
      </c>
      <c r="C247" s="5">
        <v>128</v>
      </c>
      <c r="D247" s="5">
        <v>228</v>
      </c>
      <c r="E247" s="5">
        <v>177</v>
      </c>
      <c r="F247" s="5">
        <v>8133</v>
      </c>
      <c r="G247" s="5">
        <v>202</v>
      </c>
      <c r="H247" t="str">
        <f t="shared" si="16"/>
        <v>Valid</v>
      </c>
      <c r="I247" t="str">
        <f t="shared" si="17"/>
        <v>Valid</v>
      </c>
      <c r="J247" s="5">
        <f t="shared" si="18"/>
        <v>7931</v>
      </c>
      <c r="K247" s="5">
        <f t="shared" si="19"/>
        <v>8361</v>
      </c>
      <c r="L247" s="5">
        <f>IF(Table1[[#This Row],[Total_System_Load]]&gt;80%*AVERAGE(Table1[Total_System_Load]),Table1[[#This Row],[Total_System_Load]]-Table1[[#This Row],[Total_Children_Under_Care]],0)</f>
        <v>430</v>
      </c>
      <c r="M247" s="5">
        <f t="shared" si="15"/>
        <v>-25</v>
      </c>
      <c r="N247" s="5">
        <f>M248-Table1[[#This Row],[Net_Daily_Intake]]</f>
        <v>-13</v>
      </c>
      <c r="O247" s="5">
        <f>M248-Table1[[#This Row],[Net_Daily_Intake]]/Table1[[#This Row],[Net_Daily_Intake]]</f>
        <v>-39</v>
      </c>
      <c r="P247" t="str">
        <f>IF(Table1[[#This Row],[Change_in_Net_Daily_Intake]]&gt;0,"Sustained Positive","Negative")</f>
        <v>Negative</v>
      </c>
      <c r="Q247" s="1">
        <f>(Table1[[#This Row],[Total_System_Load]]-Table1[[#This Row],[Total_Children_Under_Care]])/Table1[[#This Row],[Total_Children_Under_Care]]*100</f>
        <v>5.4217627033161016</v>
      </c>
      <c r="R247" s="1">
        <f>(Table1[[#This Row],[Children_discharged _from_HHS_ Care]]/Table1[[#This Row],[Children_transferred_out_of_CBP_custody]])</f>
        <v>1.1412429378531073</v>
      </c>
    </row>
    <row r="248" spans="1:18" x14ac:dyDescent="0.3">
      <c r="A248">
        <v>247</v>
      </c>
      <c r="B248" s="7">
        <v>45315</v>
      </c>
      <c r="C248" s="5">
        <v>90</v>
      </c>
      <c r="D248" s="5">
        <v>196</v>
      </c>
      <c r="E248" s="5">
        <v>205</v>
      </c>
      <c r="F248" s="5">
        <v>8212</v>
      </c>
      <c r="G248" s="5">
        <v>243</v>
      </c>
      <c r="H248" t="str">
        <f t="shared" si="16"/>
        <v>Invalid</v>
      </c>
      <c r="I248" t="str">
        <f t="shared" si="17"/>
        <v>Valid</v>
      </c>
      <c r="J248" s="5">
        <f t="shared" si="18"/>
        <v>7969</v>
      </c>
      <c r="K248" s="5">
        <f t="shared" si="19"/>
        <v>8408</v>
      </c>
      <c r="L248" s="5">
        <f>IF(Table1[[#This Row],[Total_System_Load]]&gt;80%*AVERAGE(Table1[Total_System_Load]),Table1[[#This Row],[Total_System_Load]]-Table1[[#This Row],[Total_Children_Under_Care]],0)</f>
        <v>439</v>
      </c>
      <c r="M248" s="5">
        <f t="shared" si="15"/>
        <v>-38</v>
      </c>
      <c r="N248" s="5">
        <f>M249-Table1[[#This Row],[Net_Daily_Intake]]</f>
        <v>-100</v>
      </c>
      <c r="O248" s="5">
        <f>M249-Table1[[#This Row],[Net_Daily_Intake]]/Table1[[#This Row],[Net_Daily_Intake]]</f>
        <v>-139</v>
      </c>
      <c r="P248" t="str">
        <f>IF(Table1[[#This Row],[Change_in_Net_Daily_Intake]]&gt;0,"Sustained Positive","Negative")</f>
        <v>Negative</v>
      </c>
      <c r="Q248" s="1">
        <f>(Table1[[#This Row],[Total_System_Load]]-Table1[[#This Row],[Total_Children_Under_Care]])/Table1[[#This Row],[Total_Children_Under_Care]]*100</f>
        <v>5.50884678127745</v>
      </c>
      <c r="R248" s="1">
        <f>(Table1[[#This Row],[Children_discharged _from_HHS_ Care]]/Table1[[#This Row],[Children_transferred_out_of_CBP_custody]])</f>
        <v>1.1853658536585365</v>
      </c>
    </row>
    <row r="249" spans="1:18" x14ac:dyDescent="0.3">
      <c r="A249">
        <v>248</v>
      </c>
      <c r="B249" s="7">
        <v>45316</v>
      </c>
      <c r="C249" s="5">
        <v>102</v>
      </c>
      <c r="D249" s="5">
        <v>189</v>
      </c>
      <c r="E249" s="5">
        <v>155</v>
      </c>
      <c r="F249" s="5">
        <v>8180</v>
      </c>
      <c r="G249" s="5">
        <v>293</v>
      </c>
      <c r="H249" t="str">
        <f t="shared" si="16"/>
        <v>Valid</v>
      </c>
      <c r="I249" t="str">
        <f t="shared" si="17"/>
        <v>Valid</v>
      </c>
      <c r="J249" s="5">
        <f t="shared" si="18"/>
        <v>7887</v>
      </c>
      <c r="K249" s="5">
        <f t="shared" si="19"/>
        <v>8369</v>
      </c>
      <c r="L249" s="5">
        <f>IF(Table1[[#This Row],[Total_System_Load]]&gt;80%*AVERAGE(Table1[Total_System_Load]),Table1[[#This Row],[Total_System_Load]]-Table1[[#This Row],[Total_Children_Under_Care]],0)</f>
        <v>482</v>
      </c>
      <c r="M249" s="5">
        <f t="shared" si="15"/>
        <v>-138</v>
      </c>
      <c r="N249" s="5">
        <f>M250-Table1[[#This Row],[Net_Daily_Intake]]</f>
        <v>-43</v>
      </c>
      <c r="O249" s="5">
        <f>M250-Table1[[#This Row],[Net_Daily_Intake]]/Table1[[#This Row],[Net_Daily_Intake]]</f>
        <v>-182</v>
      </c>
      <c r="P249" t="str">
        <f>IF(Table1[[#This Row],[Change_in_Net_Daily_Intake]]&gt;0,"Sustained Positive","Negative")</f>
        <v>Negative</v>
      </c>
      <c r="Q249" s="1">
        <f>(Table1[[#This Row],[Total_System_Load]]-Table1[[#This Row],[Total_Children_Under_Care]])/Table1[[#This Row],[Total_Children_Under_Care]]*100</f>
        <v>6.1113224293140611</v>
      </c>
      <c r="R249" s="1">
        <f>(Table1[[#This Row],[Children_discharged _from_HHS_ Care]]/Table1[[#This Row],[Children_transferred_out_of_CBP_custody]])</f>
        <v>1.8903225806451613</v>
      </c>
    </row>
    <row r="250" spans="1:18" x14ac:dyDescent="0.3">
      <c r="A250">
        <v>249</v>
      </c>
      <c r="B250" s="7">
        <v>45319</v>
      </c>
      <c r="C250" s="5">
        <v>120</v>
      </c>
      <c r="D250" s="5">
        <v>257</v>
      </c>
      <c r="E250" s="5">
        <v>126</v>
      </c>
      <c r="F250" s="5">
        <v>8004</v>
      </c>
      <c r="G250" s="5">
        <v>307</v>
      </c>
      <c r="H250" t="str">
        <f t="shared" si="16"/>
        <v>Valid</v>
      </c>
      <c r="I250" t="str">
        <f t="shared" si="17"/>
        <v>Valid</v>
      </c>
      <c r="J250" s="5">
        <f t="shared" si="18"/>
        <v>7697</v>
      </c>
      <c r="K250" s="5">
        <f t="shared" si="19"/>
        <v>8261</v>
      </c>
      <c r="L250" s="5">
        <f>IF(Table1[[#This Row],[Total_System_Load]]&gt;80%*AVERAGE(Table1[Total_System_Load]),Table1[[#This Row],[Total_System_Load]]-Table1[[#This Row],[Total_Children_Under_Care]],0)</f>
        <v>564</v>
      </c>
      <c r="M250" s="5">
        <f t="shared" si="15"/>
        <v>-181</v>
      </c>
      <c r="N250" s="5">
        <f>M251-Table1[[#This Row],[Net_Daily_Intake]]</f>
        <v>152</v>
      </c>
      <c r="O250" s="5">
        <f>M251-Table1[[#This Row],[Net_Daily_Intake]]/Table1[[#This Row],[Net_Daily_Intake]]</f>
        <v>-30</v>
      </c>
      <c r="P250" t="str">
        <f>IF(Table1[[#This Row],[Change_in_Net_Daily_Intake]]&gt;0,"Sustained Positive","Negative")</f>
        <v>Sustained Positive</v>
      </c>
      <c r="Q250" s="1">
        <f>(Table1[[#This Row],[Total_System_Load]]-Table1[[#This Row],[Total_Children_Under_Care]])/Table1[[#This Row],[Total_Children_Under_Care]]*100</f>
        <v>7.3275302065739902</v>
      </c>
      <c r="R250" s="1">
        <f>(Table1[[#This Row],[Children_discharged _from_HHS_ Care]]/Table1[[#This Row],[Children_transferred_out_of_CBP_custody]])</f>
        <v>2.4365079365079363</v>
      </c>
    </row>
    <row r="251" spans="1:18" x14ac:dyDescent="0.3">
      <c r="A251">
        <v>250</v>
      </c>
      <c r="B251" s="7">
        <v>45320</v>
      </c>
      <c r="C251" s="5">
        <v>137</v>
      </c>
      <c r="D251" s="5">
        <v>272</v>
      </c>
      <c r="E251" s="5">
        <v>166</v>
      </c>
      <c r="F251" s="5">
        <v>8057</v>
      </c>
      <c r="G251" s="5">
        <v>195</v>
      </c>
      <c r="H251" t="str">
        <f t="shared" si="16"/>
        <v>Valid</v>
      </c>
      <c r="I251" t="str">
        <f t="shared" si="17"/>
        <v>Valid</v>
      </c>
      <c r="J251" s="5">
        <f t="shared" si="18"/>
        <v>7862</v>
      </c>
      <c r="K251" s="5">
        <f t="shared" si="19"/>
        <v>8329</v>
      </c>
      <c r="L251" s="5">
        <f>IF(Table1[[#This Row],[Total_System_Load]]&gt;80%*AVERAGE(Table1[Total_System_Load]),Table1[[#This Row],[Total_System_Load]]-Table1[[#This Row],[Total_Children_Under_Care]],0)</f>
        <v>467</v>
      </c>
      <c r="M251" s="5">
        <f t="shared" si="15"/>
        <v>-29</v>
      </c>
      <c r="N251" s="5">
        <f>M252-Table1[[#This Row],[Net_Daily_Intake]]</f>
        <v>50</v>
      </c>
      <c r="O251" s="5">
        <f>M252-Table1[[#This Row],[Net_Daily_Intake]]/Table1[[#This Row],[Net_Daily_Intake]]</f>
        <v>20</v>
      </c>
      <c r="P251" t="str">
        <f>IF(Table1[[#This Row],[Change_in_Net_Daily_Intake]]&gt;0,"Sustained Positive","Negative")</f>
        <v>Sustained Positive</v>
      </c>
      <c r="Q251" s="1">
        <f>(Table1[[#This Row],[Total_System_Load]]-Table1[[#This Row],[Total_Children_Under_Care]])/Table1[[#This Row],[Total_Children_Under_Care]]*100</f>
        <v>5.9399643856525053</v>
      </c>
      <c r="R251" s="1">
        <f>(Table1[[#This Row],[Children_discharged _from_HHS_ Care]]/Table1[[#This Row],[Children_transferred_out_of_CBP_custody]])</f>
        <v>1.1746987951807228</v>
      </c>
    </row>
    <row r="252" spans="1:18" x14ac:dyDescent="0.3">
      <c r="A252">
        <v>251</v>
      </c>
      <c r="B252" s="7">
        <v>45321</v>
      </c>
      <c r="C252" s="5">
        <v>93</v>
      </c>
      <c r="D252" s="5">
        <v>198</v>
      </c>
      <c r="E252" s="5">
        <v>208</v>
      </c>
      <c r="F252" s="5">
        <v>8182</v>
      </c>
      <c r="G252" s="5">
        <v>187</v>
      </c>
      <c r="H252" t="str">
        <f t="shared" si="16"/>
        <v>Invalid</v>
      </c>
      <c r="I252" t="str">
        <f t="shared" si="17"/>
        <v>Valid</v>
      </c>
      <c r="J252" s="5">
        <f t="shared" si="18"/>
        <v>7995</v>
      </c>
      <c r="K252" s="5">
        <f t="shared" si="19"/>
        <v>8380</v>
      </c>
      <c r="L252" s="5">
        <f>IF(Table1[[#This Row],[Total_System_Load]]&gt;80%*AVERAGE(Table1[Total_System_Load]),Table1[[#This Row],[Total_System_Load]]-Table1[[#This Row],[Total_Children_Under_Care]],0)</f>
        <v>385</v>
      </c>
      <c r="M252" s="5">
        <f t="shared" si="15"/>
        <v>21</v>
      </c>
      <c r="N252" s="5">
        <f>M253-Table1[[#This Row],[Net_Daily_Intake]]</f>
        <v>-29</v>
      </c>
      <c r="O252" s="5">
        <f>M253-Table1[[#This Row],[Net_Daily_Intake]]/Table1[[#This Row],[Net_Daily_Intake]]</f>
        <v>-9</v>
      </c>
      <c r="P252" t="str">
        <f>IF(Table1[[#This Row],[Change_in_Net_Daily_Intake]]&gt;0,"Sustained Positive","Negative")</f>
        <v>Negative</v>
      </c>
      <c r="Q252" s="1">
        <f>(Table1[[#This Row],[Total_System_Load]]-Table1[[#This Row],[Total_Children_Under_Care]])/Table1[[#This Row],[Total_Children_Under_Care]]*100</f>
        <v>4.8155096935584742</v>
      </c>
      <c r="R252" s="1">
        <f>(Table1[[#This Row],[Children_discharged _from_HHS_ Care]]/Table1[[#This Row],[Children_transferred_out_of_CBP_custody]])</f>
        <v>0.89903846153846156</v>
      </c>
    </row>
    <row r="253" spans="1:18" x14ac:dyDescent="0.3">
      <c r="A253">
        <v>252</v>
      </c>
      <c r="B253" s="7">
        <v>45322</v>
      </c>
      <c r="C253" s="5">
        <v>203</v>
      </c>
      <c r="D253" s="5">
        <v>477</v>
      </c>
      <c r="E253" s="5">
        <v>258</v>
      </c>
      <c r="F253" s="5">
        <v>8153</v>
      </c>
      <c r="G253" s="5">
        <v>266</v>
      </c>
      <c r="H253" t="str">
        <f t="shared" si="16"/>
        <v>Valid</v>
      </c>
      <c r="I253" t="str">
        <f t="shared" si="17"/>
        <v>Valid</v>
      </c>
      <c r="J253" s="5">
        <f t="shared" si="18"/>
        <v>7887</v>
      </c>
      <c r="K253" s="5">
        <f t="shared" si="19"/>
        <v>8630</v>
      </c>
      <c r="L253" s="5">
        <f>IF(Table1[[#This Row],[Total_System_Load]]&gt;80%*AVERAGE(Table1[Total_System_Load]),Table1[[#This Row],[Total_System_Load]]-Table1[[#This Row],[Total_Children_Under_Care]],0)</f>
        <v>743</v>
      </c>
      <c r="M253" s="5">
        <f t="shared" si="15"/>
        <v>-8</v>
      </c>
      <c r="N253" s="5">
        <f>M254-Table1[[#This Row],[Net_Daily_Intake]]</f>
        <v>-40</v>
      </c>
      <c r="O253" s="5">
        <f>M254-Table1[[#This Row],[Net_Daily_Intake]]/Table1[[#This Row],[Net_Daily_Intake]]</f>
        <v>-49</v>
      </c>
      <c r="P253" t="str">
        <f>IF(Table1[[#This Row],[Change_in_Net_Daily_Intake]]&gt;0,"Sustained Positive","Negative")</f>
        <v>Negative</v>
      </c>
      <c r="Q253" s="1">
        <f>(Table1[[#This Row],[Total_System_Load]]-Table1[[#This Row],[Total_Children_Under_Care]])/Table1[[#This Row],[Total_Children_Under_Care]]*100</f>
        <v>9.4205654875110945</v>
      </c>
      <c r="R253" s="1">
        <f>(Table1[[#This Row],[Children_discharged _from_HHS_ Care]]/Table1[[#This Row],[Children_transferred_out_of_CBP_custody]])</f>
        <v>1.0310077519379846</v>
      </c>
    </row>
    <row r="254" spans="1:18" x14ac:dyDescent="0.3">
      <c r="A254">
        <v>253</v>
      </c>
      <c r="B254" s="7">
        <v>45323</v>
      </c>
      <c r="C254" s="5">
        <v>222</v>
      </c>
      <c r="D254" s="5">
        <v>459</v>
      </c>
      <c r="E254" s="5">
        <v>289</v>
      </c>
      <c r="F254" s="5">
        <v>8026</v>
      </c>
      <c r="G254" s="5">
        <v>337</v>
      </c>
      <c r="H254" t="str">
        <f t="shared" si="16"/>
        <v>Valid</v>
      </c>
      <c r="I254" t="str">
        <f t="shared" si="17"/>
        <v>Valid</v>
      </c>
      <c r="J254" s="5">
        <f t="shared" si="18"/>
        <v>7689</v>
      </c>
      <c r="K254" s="5">
        <f t="shared" si="19"/>
        <v>8485</v>
      </c>
      <c r="L254" s="5">
        <f>IF(Table1[[#This Row],[Total_System_Load]]&gt;80%*AVERAGE(Table1[Total_System_Load]),Table1[[#This Row],[Total_System_Load]]-Table1[[#This Row],[Total_Children_Under_Care]],0)</f>
        <v>796</v>
      </c>
      <c r="M254" s="5">
        <f t="shared" si="15"/>
        <v>-48</v>
      </c>
      <c r="N254" s="5">
        <f>M255-Table1[[#This Row],[Net_Daily_Intake]]</f>
        <v>-46</v>
      </c>
      <c r="O254" s="5">
        <f>M255-Table1[[#This Row],[Net_Daily_Intake]]/Table1[[#This Row],[Net_Daily_Intake]]</f>
        <v>-95</v>
      </c>
      <c r="P254" t="str">
        <f>IF(Table1[[#This Row],[Change_in_Net_Daily_Intake]]&gt;0,"Sustained Positive","Negative")</f>
        <v>Negative</v>
      </c>
      <c r="Q254" s="1">
        <f>(Table1[[#This Row],[Total_System_Load]]-Table1[[#This Row],[Total_Children_Under_Care]])/Table1[[#This Row],[Total_Children_Under_Care]]*100</f>
        <v>10.352451554168292</v>
      </c>
      <c r="R254" s="1">
        <f>(Table1[[#This Row],[Children_discharged _from_HHS_ Care]]/Table1[[#This Row],[Children_transferred_out_of_CBP_custody]])</f>
        <v>1.166089965397924</v>
      </c>
    </row>
    <row r="255" spans="1:18" x14ac:dyDescent="0.3">
      <c r="A255">
        <v>254</v>
      </c>
      <c r="B255" s="7">
        <v>45326</v>
      </c>
      <c r="C255" s="5">
        <v>253</v>
      </c>
      <c r="D255" s="5">
        <v>531</v>
      </c>
      <c r="E255" s="5">
        <v>248</v>
      </c>
      <c r="F255" s="5">
        <v>7813</v>
      </c>
      <c r="G255" s="5">
        <v>342</v>
      </c>
      <c r="H255" t="str">
        <f t="shared" si="16"/>
        <v>Valid</v>
      </c>
      <c r="I255" t="str">
        <f t="shared" si="17"/>
        <v>Valid</v>
      </c>
      <c r="J255" s="5">
        <f t="shared" si="18"/>
        <v>7471</v>
      </c>
      <c r="K255" s="5">
        <f t="shared" si="19"/>
        <v>8344</v>
      </c>
      <c r="L255" s="5">
        <f>IF(Table1[[#This Row],[Total_System_Load]]&gt;80%*AVERAGE(Table1[Total_System_Load]),Table1[[#This Row],[Total_System_Load]]-Table1[[#This Row],[Total_Children_Under_Care]],0)</f>
        <v>873</v>
      </c>
      <c r="M255" s="5">
        <f t="shared" si="15"/>
        <v>-94</v>
      </c>
      <c r="N255" s="5">
        <f>M256-Table1[[#This Row],[Net_Daily_Intake]]</f>
        <v>197</v>
      </c>
      <c r="O255" s="5">
        <f>M256-Table1[[#This Row],[Net_Daily_Intake]]/Table1[[#This Row],[Net_Daily_Intake]]</f>
        <v>102</v>
      </c>
      <c r="P255" t="str">
        <f>IF(Table1[[#This Row],[Change_in_Net_Daily_Intake]]&gt;0,"Sustained Positive","Negative")</f>
        <v>Sustained Positive</v>
      </c>
      <c r="Q255" s="1">
        <f>(Table1[[#This Row],[Total_System_Load]]-Table1[[#This Row],[Total_Children_Under_Care]])/Table1[[#This Row],[Total_Children_Under_Care]]*100</f>
        <v>11.685182706464998</v>
      </c>
      <c r="R255" s="1">
        <f>(Table1[[#This Row],[Children_discharged _from_HHS_ Care]]/Table1[[#This Row],[Children_transferred_out_of_CBP_custody]])</f>
        <v>1.3790322580645162</v>
      </c>
    </row>
    <row r="256" spans="1:18" x14ac:dyDescent="0.3">
      <c r="A256">
        <v>255</v>
      </c>
      <c r="B256" s="7">
        <v>45327</v>
      </c>
      <c r="C256" s="5">
        <v>157</v>
      </c>
      <c r="D256" s="5">
        <v>466</v>
      </c>
      <c r="E256" s="5">
        <v>345</v>
      </c>
      <c r="F256" s="5">
        <v>7872</v>
      </c>
      <c r="G256" s="5">
        <v>242</v>
      </c>
      <c r="H256" t="str">
        <f t="shared" si="16"/>
        <v>Valid</v>
      </c>
      <c r="I256" t="str">
        <f t="shared" si="17"/>
        <v>Valid</v>
      </c>
      <c r="J256" s="5">
        <f t="shared" si="18"/>
        <v>7630</v>
      </c>
      <c r="K256" s="5">
        <f t="shared" si="19"/>
        <v>8338</v>
      </c>
      <c r="L256" s="5">
        <f>IF(Table1[[#This Row],[Total_System_Load]]&gt;80%*AVERAGE(Table1[Total_System_Load]),Table1[[#This Row],[Total_System_Load]]-Table1[[#This Row],[Total_Children_Under_Care]],0)</f>
        <v>708</v>
      </c>
      <c r="M256" s="5">
        <f t="shared" si="15"/>
        <v>103</v>
      </c>
      <c r="N256" s="5">
        <f>M257-Table1[[#This Row],[Net_Daily_Intake]]</f>
        <v>42</v>
      </c>
      <c r="O256" s="5">
        <f>M257-Table1[[#This Row],[Net_Daily_Intake]]/Table1[[#This Row],[Net_Daily_Intake]]</f>
        <v>144</v>
      </c>
      <c r="P256" t="str">
        <f>IF(Table1[[#This Row],[Change_in_Net_Daily_Intake]]&gt;0,"Sustained Positive","Negative")</f>
        <v>Sustained Positive</v>
      </c>
      <c r="Q256" s="1">
        <f>(Table1[[#This Row],[Total_System_Load]]-Table1[[#This Row],[Total_Children_Under_Care]])/Table1[[#This Row],[Total_Children_Under_Care]]*100</f>
        <v>9.2791612057667106</v>
      </c>
      <c r="R256" s="1">
        <f>(Table1[[#This Row],[Children_discharged _from_HHS_ Care]]/Table1[[#This Row],[Children_transferred_out_of_CBP_custody]])</f>
        <v>0.70144927536231882</v>
      </c>
    </row>
    <row r="257" spans="1:18" x14ac:dyDescent="0.3">
      <c r="A257">
        <v>256</v>
      </c>
      <c r="B257" s="7">
        <v>45328</v>
      </c>
      <c r="C257" s="5">
        <v>291</v>
      </c>
      <c r="D257" s="5">
        <v>455</v>
      </c>
      <c r="E257" s="5">
        <v>323</v>
      </c>
      <c r="F257" s="5">
        <v>8045</v>
      </c>
      <c r="G257" s="5">
        <v>178</v>
      </c>
      <c r="H257" t="str">
        <f t="shared" si="16"/>
        <v>Valid</v>
      </c>
      <c r="I257" t="str">
        <f t="shared" si="17"/>
        <v>Valid</v>
      </c>
      <c r="J257" s="5">
        <f t="shared" si="18"/>
        <v>7867</v>
      </c>
      <c r="K257" s="5">
        <f t="shared" si="19"/>
        <v>8500</v>
      </c>
      <c r="L257" s="5">
        <f>IF(Table1[[#This Row],[Total_System_Load]]&gt;80%*AVERAGE(Table1[Total_System_Load]),Table1[[#This Row],[Total_System_Load]]-Table1[[#This Row],[Total_Children_Under_Care]],0)</f>
        <v>633</v>
      </c>
      <c r="M257" s="5">
        <f t="shared" si="15"/>
        <v>145</v>
      </c>
      <c r="N257" s="5">
        <f>M258-Table1[[#This Row],[Net_Daily_Intake]]</f>
        <v>-37</v>
      </c>
      <c r="O257" s="5">
        <f>M258-Table1[[#This Row],[Net_Daily_Intake]]/Table1[[#This Row],[Net_Daily_Intake]]</f>
        <v>107</v>
      </c>
      <c r="P257" t="str">
        <f>IF(Table1[[#This Row],[Change_in_Net_Daily_Intake]]&gt;0,"Sustained Positive","Negative")</f>
        <v>Negative</v>
      </c>
      <c r="Q257" s="1">
        <f>(Table1[[#This Row],[Total_System_Load]]-Table1[[#This Row],[Total_Children_Under_Care]])/Table1[[#This Row],[Total_Children_Under_Care]]*100</f>
        <v>8.0462692258802591</v>
      </c>
      <c r="R257" s="1">
        <f>(Table1[[#This Row],[Children_discharged _from_HHS_ Care]]/Table1[[#This Row],[Children_transferred_out_of_CBP_custody]])</f>
        <v>0.55108359133126938</v>
      </c>
    </row>
    <row r="258" spans="1:18" x14ac:dyDescent="0.3">
      <c r="A258">
        <v>257</v>
      </c>
      <c r="B258" s="7">
        <v>45329</v>
      </c>
      <c r="C258" s="5">
        <v>227</v>
      </c>
      <c r="D258" s="5">
        <v>453</v>
      </c>
      <c r="E258" s="5">
        <v>330</v>
      </c>
      <c r="F258" s="5">
        <v>8160</v>
      </c>
      <c r="G258" s="5">
        <v>222</v>
      </c>
      <c r="H258" t="str">
        <f t="shared" si="16"/>
        <v>Valid</v>
      </c>
      <c r="I258" t="str">
        <f t="shared" si="17"/>
        <v>Valid</v>
      </c>
      <c r="J258" s="5">
        <f t="shared" si="18"/>
        <v>7938</v>
      </c>
      <c r="K258" s="5">
        <f t="shared" si="19"/>
        <v>8613</v>
      </c>
      <c r="L258" s="5">
        <f>IF(Table1[[#This Row],[Total_System_Load]]&gt;80%*AVERAGE(Table1[Total_System_Load]),Table1[[#This Row],[Total_System_Load]]-Table1[[#This Row],[Total_Children_Under_Care]],0)</f>
        <v>675</v>
      </c>
      <c r="M258" s="5">
        <f t="shared" ref="M258:M321" si="20">E258-G258</f>
        <v>108</v>
      </c>
      <c r="N258" s="5">
        <f>M259-Table1[[#This Row],[Net_Daily_Intake]]</f>
        <v>-65</v>
      </c>
      <c r="O258" s="5">
        <f>M259-Table1[[#This Row],[Net_Daily_Intake]]/Table1[[#This Row],[Net_Daily_Intake]]</f>
        <v>42</v>
      </c>
      <c r="P258" t="str">
        <f>IF(Table1[[#This Row],[Change_in_Net_Daily_Intake]]&gt;0,"Sustained Positive","Negative")</f>
        <v>Negative</v>
      </c>
      <c r="Q258" s="1">
        <f>(Table1[[#This Row],[Total_System_Load]]-Table1[[#This Row],[Total_Children_Under_Care]])/Table1[[#This Row],[Total_Children_Under_Care]]*100</f>
        <v>8.5034013605442169</v>
      </c>
      <c r="R258" s="1">
        <f>(Table1[[#This Row],[Children_discharged _from_HHS_ Care]]/Table1[[#This Row],[Children_transferred_out_of_CBP_custody]])</f>
        <v>0.67272727272727273</v>
      </c>
    </row>
    <row r="259" spans="1:18" x14ac:dyDescent="0.3">
      <c r="A259">
        <v>258</v>
      </c>
      <c r="B259" s="7">
        <v>45330</v>
      </c>
      <c r="C259" s="5">
        <v>298</v>
      </c>
      <c r="D259" s="5">
        <v>499</v>
      </c>
      <c r="E259" s="5">
        <v>358</v>
      </c>
      <c r="F259" s="5">
        <v>8188</v>
      </c>
      <c r="G259" s="5">
        <v>315</v>
      </c>
      <c r="H259" t="str">
        <f t="shared" ref="H259:H322" si="21">IF(E259&lt;=D259,"Valid","Invalid")</f>
        <v>Valid</v>
      </c>
      <c r="I259" t="str">
        <f t="shared" ref="I259:I322" si="22">IF(G259&lt;=F259,"Valid","Invalid")</f>
        <v>Valid</v>
      </c>
      <c r="J259" s="5">
        <f t="shared" ref="J259:J322" si="23">F259-G259</f>
        <v>7873</v>
      </c>
      <c r="K259" s="5">
        <f t="shared" ref="K259:K322" si="24">D259+F259</f>
        <v>8687</v>
      </c>
      <c r="L259" s="5">
        <f>IF(Table1[[#This Row],[Total_System_Load]]&gt;80%*AVERAGE(Table1[Total_System_Load]),Table1[[#This Row],[Total_System_Load]]-Table1[[#This Row],[Total_Children_Under_Care]],0)</f>
        <v>814</v>
      </c>
      <c r="M259" s="5">
        <f t="shared" si="20"/>
        <v>43</v>
      </c>
      <c r="N259" s="5">
        <f>M260-Table1[[#This Row],[Net_Daily_Intake]]</f>
        <v>-164</v>
      </c>
      <c r="O259" s="5">
        <f>M260-Table1[[#This Row],[Net_Daily_Intake]]/Table1[[#This Row],[Net_Daily_Intake]]</f>
        <v>-122</v>
      </c>
      <c r="P259" t="str">
        <f>IF(Table1[[#This Row],[Change_in_Net_Daily_Intake]]&gt;0,"Sustained Positive","Negative")</f>
        <v>Negative</v>
      </c>
      <c r="Q259" s="1">
        <f>(Table1[[#This Row],[Total_System_Load]]-Table1[[#This Row],[Total_Children_Under_Care]])/Table1[[#This Row],[Total_Children_Under_Care]]*100</f>
        <v>10.339133748253525</v>
      </c>
      <c r="R259" s="1">
        <f>(Table1[[#This Row],[Children_discharged _from_HHS_ Care]]/Table1[[#This Row],[Children_transferred_out_of_CBP_custody]])</f>
        <v>0.87988826815642462</v>
      </c>
    </row>
    <row r="260" spans="1:18" x14ac:dyDescent="0.3">
      <c r="A260">
        <v>259</v>
      </c>
      <c r="B260" s="7">
        <v>45333</v>
      </c>
      <c r="C260" s="5">
        <v>205</v>
      </c>
      <c r="D260" s="5">
        <v>515</v>
      </c>
      <c r="E260" s="5">
        <v>226</v>
      </c>
      <c r="F260" s="5">
        <v>8056</v>
      </c>
      <c r="G260" s="5">
        <v>347</v>
      </c>
      <c r="H260" t="str">
        <f t="shared" si="21"/>
        <v>Valid</v>
      </c>
      <c r="I260" t="str">
        <f t="shared" si="22"/>
        <v>Valid</v>
      </c>
      <c r="J260" s="5">
        <f t="shared" si="23"/>
        <v>7709</v>
      </c>
      <c r="K260" s="5">
        <f t="shared" si="24"/>
        <v>8571</v>
      </c>
      <c r="L260" s="5">
        <f>IF(Table1[[#This Row],[Total_System_Load]]&gt;80%*AVERAGE(Table1[Total_System_Load]),Table1[[#This Row],[Total_System_Load]]-Table1[[#This Row],[Total_Children_Under_Care]],0)</f>
        <v>862</v>
      </c>
      <c r="M260" s="5">
        <f t="shared" si="20"/>
        <v>-121</v>
      </c>
      <c r="N260" s="5">
        <f>M261-Table1[[#This Row],[Net_Daily_Intake]]</f>
        <v>327</v>
      </c>
      <c r="O260" s="5">
        <f>M261-Table1[[#This Row],[Net_Daily_Intake]]/Table1[[#This Row],[Net_Daily_Intake]]</f>
        <v>205</v>
      </c>
      <c r="P260" t="str">
        <f>IF(Table1[[#This Row],[Change_in_Net_Daily_Intake]]&gt;0,"Sustained Positive","Negative")</f>
        <v>Sustained Positive</v>
      </c>
      <c r="Q260" s="1">
        <f>(Table1[[#This Row],[Total_System_Load]]-Table1[[#This Row],[Total_Children_Under_Care]])/Table1[[#This Row],[Total_Children_Under_Care]]*100</f>
        <v>11.181735633674926</v>
      </c>
      <c r="R260" s="1">
        <f>(Table1[[#This Row],[Children_discharged _from_HHS_ Care]]/Table1[[#This Row],[Children_transferred_out_of_CBP_custody]])</f>
        <v>1.5353982300884956</v>
      </c>
    </row>
    <row r="261" spans="1:18" x14ac:dyDescent="0.3">
      <c r="A261">
        <v>260</v>
      </c>
      <c r="B261" s="7">
        <v>45334</v>
      </c>
      <c r="C261" s="5">
        <v>213</v>
      </c>
      <c r="D261" s="5">
        <v>430</v>
      </c>
      <c r="E261" s="5">
        <v>440</v>
      </c>
      <c r="F261" s="5">
        <v>8092</v>
      </c>
      <c r="G261" s="5">
        <v>234</v>
      </c>
      <c r="H261" t="str">
        <f t="shared" si="21"/>
        <v>Invalid</v>
      </c>
      <c r="I261" t="str">
        <f t="shared" si="22"/>
        <v>Valid</v>
      </c>
      <c r="J261" s="5">
        <f t="shared" si="23"/>
        <v>7858</v>
      </c>
      <c r="K261" s="5">
        <f t="shared" si="24"/>
        <v>8522</v>
      </c>
      <c r="L261" s="5">
        <f>IF(Table1[[#This Row],[Total_System_Load]]&gt;80%*AVERAGE(Table1[Total_System_Load]),Table1[[#This Row],[Total_System_Load]]-Table1[[#This Row],[Total_Children_Under_Care]],0)</f>
        <v>664</v>
      </c>
      <c r="M261" s="5">
        <f t="shared" si="20"/>
        <v>206</v>
      </c>
      <c r="N261" s="5">
        <f>M262-Table1[[#This Row],[Net_Daily_Intake]]</f>
        <v>-17</v>
      </c>
      <c r="O261" s="5">
        <f>M262-Table1[[#This Row],[Net_Daily_Intake]]/Table1[[#This Row],[Net_Daily_Intake]]</f>
        <v>188</v>
      </c>
      <c r="P261" t="str">
        <f>IF(Table1[[#This Row],[Change_in_Net_Daily_Intake]]&gt;0,"Sustained Positive","Negative")</f>
        <v>Negative</v>
      </c>
      <c r="Q261" s="1">
        <f>(Table1[[#This Row],[Total_System_Load]]-Table1[[#This Row],[Total_Children_Under_Care]])/Table1[[#This Row],[Total_Children_Under_Care]]*100</f>
        <v>8.4499872741155517</v>
      </c>
      <c r="R261" s="1">
        <f>(Table1[[#This Row],[Children_discharged _from_HHS_ Care]]/Table1[[#This Row],[Children_transferred_out_of_CBP_custody]])</f>
        <v>0.53181818181818186</v>
      </c>
    </row>
    <row r="262" spans="1:18" x14ac:dyDescent="0.3">
      <c r="A262">
        <v>261</v>
      </c>
      <c r="B262" s="7">
        <v>45335</v>
      </c>
      <c r="C262" s="5">
        <v>227</v>
      </c>
      <c r="D262" s="5">
        <v>369</v>
      </c>
      <c r="E262" s="5">
        <v>349</v>
      </c>
      <c r="F262" s="5">
        <v>8348</v>
      </c>
      <c r="G262" s="5">
        <v>160</v>
      </c>
      <c r="H262" t="str">
        <f t="shared" si="21"/>
        <v>Valid</v>
      </c>
      <c r="I262" t="str">
        <f t="shared" si="22"/>
        <v>Valid</v>
      </c>
      <c r="J262" s="5">
        <f t="shared" si="23"/>
        <v>8188</v>
      </c>
      <c r="K262" s="5">
        <f t="shared" si="24"/>
        <v>8717</v>
      </c>
      <c r="L262" s="5">
        <f>IF(Table1[[#This Row],[Total_System_Load]]&gt;80%*AVERAGE(Table1[Total_System_Load]),Table1[[#This Row],[Total_System_Load]]-Table1[[#This Row],[Total_Children_Under_Care]],0)</f>
        <v>529</v>
      </c>
      <c r="M262" s="5">
        <f t="shared" si="20"/>
        <v>189</v>
      </c>
      <c r="N262" s="5">
        <f>M263-Table1[[#This Row],[Net_Daily_Intake]]</f>
        <v>-147</v>
      </c>
      <c r="O262" s="5">
        <f>M263-Table1[[#This Row],[Net_Daily_Intake]]/Table1[[#This Row],[Net_Daily_Intake]]</f>
        <v>41</v>
      </c>
      <c r="P262" t="str">
        <f>IF(Table1[[#This Row],[Change_in_Net_Daily_Intake]]&gt;0,"Sustained Positive","Negative")</f>
        <v>Negative</v>
      </c>
      <c r="Q262" s="1">
        <f>(Table1[[#This Row],[Total_System_Load]]-Table1[[#This Row],[Total_Children_Under_Care]])/Table1[[#This Row],[Total_Children_Under_Care]]*100</f>
        <v>6.4606741573033712</v>
      </c>
      <c r="R262" s="1">
        <f>(Table1[[#This Row],[Children_discharged _from_HHS_ Care]]/Table1[[#This Row],[Children_transferred_out_of_CBP_custody]])</f>
        <v>0.45845272206303728</v>
      </c>
    </row>
    <row r="263" spans="1:18" x14ac:dyDescent="0.3">
      <c r="A263">
        <v>262</v>
      </c>
      <c r="B263" s="7">
        <v>45336</v>
      </c>
      <c r="C263" s="5">
        <v>185</v>
      </c>
      <c r="D263" s="5">
        <v>322</v>
      </c>
      <c r="E263" s="5">
        <v>272</v>
      </c>
      <c r="F263" s="5">
        <v>8512</v>
      </c>
      <c r="G263" s="5">
        <v>230</v>
      </c>
      <c r="H263" t="str">
        <f t="shared" si="21"/>
        <v>Valid</v>
      </c>
      <c r="I263" t="str">
        <f t="shared" si="22"/>
        <v>Valid</v>
      </c>
      <c r="J263" s="5">
        <f t="shared" si="23"/>
        <v>8282</v>
      </c>
      <c r="K263" s="5">
        <f t="shared" si="24"/>
        <v>8834</v>
      </c>
      <c r="L263" s="5">
        <f>IF(Table1[[#This Row],[Total_System_Load]]&gt;80%*AVERAGE(Table1[Total_System_Load]),Table1[[#This Row],[Total_System_Load]]-Table1[[#This Row],[Total_Children_Under_Care]],0)</f>
        <v>552</v>
      </c>
      <c r="M263" s="5">
        <f t="shared" si="20"/>
        <v>42</v>
      </c>
      <c r="N263" s="5">
        <f>M264-Table1[[#This Row],[Net_Daily_Intake]]</f>
        <v>-82</v>
      </c>
      <c r="O263" s="5">
        <f>M264-Table1[[#This Row],[Net_Daily_Intake]]/Table1[[#This Row],[Net_Daily_Intake]]</f>
        <v>-41</v>
      </c>
      <c r="P263" t="str">
        <f>IF(Table1[[#This Row],[Change_in_Net_Daily_Intake]]&gt;0,"Sustained Positive","Negative")</f>
        <v>Negative</v>
      </c>
      <c r="Q263" s="1">
        <f>(Table1[[#This Row],[Total_System_Load]]-Table1[[#This Row],[Total_Children_Under_Care]])/Table1[[#This Row],[Total_Children_Under_Care]]*100</f>
        <v>6.6650567495773974</v>
      </c>
      <c r="R263" s="1">
        <f>(Table1[[#This Row],[Children_discharged _from_HHS_ Care]]/Table1[[#This Row],[Children_transferred_out_of_CBP_custody]])</f>
        <v>0.84558823529411764</v>
      </c>
    </row>
    <row r="264" spans="1:18" x14ac:dyDescent="0.3">
      <c r="A264">
        <v>263</v>
      </c>
      <c r="B264" s="7">
        <v>45337</v>
      </c>
      <c r="C264" s="5">
        <v>333</v>
      </c>
      <c r="D264" s="5">
        <v>508</v>
      </c>
      <c r="E264" s="5">
        <v>272</v>
      </c>
      <c r="F264" s="5">
        <v>8463</v>
      </c>
      <c r="G264" s="5">
        <v>312</v>
      </c>
      <c r="H264" t="str">
        <f t="shared" si="21"/>
        <v>Valid</v>
      </c>
      <c r="I264" t="str">
        <f t="shared" si="22"/>
        <v>Valid</v>
      </c>
      <c r="J264" s="5">
        <f t="shared" si="23"/>
        <v>8151</v>
      </c>
      <c r="K264" s="5">
        <f t="shared" si="24"/>
        <v>8971</v>
      </c>
      <c r="L264" s="5">
        <f>IF(Table1[[#This Row],[Total_System_Load]]&gt;80%*AVERAGE(Table1[Total_System_Load]),Table1[[#This Row],[Total_System_Load]]-Table1[[#This Row],[Total_Children_Under_Care]],0)</f>
        <v>820</v>
      </c>
      <c r="M264" s="5">
        <f t="shared" si="20"/>
        <v>-40</v>
      </c>
      <c r="N264" s="5">
        <f>M265-Table1[[#This Row],[Net_Daily_Intake]]</f>
        <v>193</v>
      </c>
      <c r="O264" s="5">
        <f>M265-Table1[[#This Row],[Net_Daily_Intake]]/Table1[[#This Row],[Net_Daily_Intake]]</f>
        <v>152</v>
      </c>
      <c r="P264" t="str">
        <f>IF(Table1[[#This Row],[Change_in_Net_Daily_Intake]]&gt;0,"Sustained Positive","Negative")</f>
        <v>Sustained Positive</v>
      </c>
      <c r="Q264" s="1">
        <f>(Table1[[#This Row],[Total_System_Load]]-Table1[[#This Row],[Total_Children_Under_Care]])/Table1[[#This Row],[Total_Children_Under_Care]]*100</f>
        <v>10.060115323273218</v>
      </c>
      <c r="R264" s="1">
        <f>(Table1[[#This Row],[Children_discharged _from_HHS_ Care]]/Table1[[#This Row],[Children_transferred_out_of_CBP_custody]])</f>
        <v>1.1470588235294117</v>
      </c>
    </row>
    <row r="265" spans="1:18" x14ac:dyDescent="0.3">
      <c r="A265">
        <v>264</v>
      </c>
      <c r="B265" s="7">
        <v>45341</v>
      </c>
      <c r="C265" s="5">
        <v>249</v>
      </c>
      <c r="D265" s="5">
        <v>420</v>
      </c>
      <c r="E265" s="5">
        <v>371</v>
      </c>
      <c r="F265" s="5">
        <v>8380</v>
      </c>
      <c r="G265" s="5">
        <v>218</v>
      </c>
      <c r="H265" t="str">
        <f t="shared" si="21"/>
        <v>Valid</v>
      </c>
      <c r="I265" t="str">
        <f t="shared" si="22"/>
        <v>Valid</v>
      </c>
      <c r="J265" s="5">
        <f t="shared" si="23"/>
        <v>8162</v>
      </c>
      <c r="K265" s="5">
        <f t="shared" si="24"/>
        <v>8800</v>
      </c>
      <c r="L265" s="5">
        <f>IF(Table1[[#This Row],[Total_System_Load]]&gt;80%*AVERAGE(Table1[Total_System_Load]),Table1[[#This Row],[Total_System_Load]]-Table1[[#This Row],[Total_Children_Under_Care]],0)</f>
        <v>638</v>
      </c>
      <c r="M265" s="5">
        <f t="shared" si="20"/>
        <v>153</v>
      </c>
      <c r="N265" s="5">
        <f>M266-Table1[[#This Row],[Net_Daily_Intake]]</f>
        <v>-72</v>
      </c>
      <c r="O265" s="5">
        <f>M266-Table1[[#This Row],[Net_Daily_Intake]]/Table1[[#This Row],[Net_Daily_Intake]]</f>
        <v>80</v>
      </c>
      <c r="P265" t="str">
        <f>IF(Table1[[#This Row],[Change_in_Net_Daily_Intake]]&gt;0,"Sustained Positive","Negative")</f>
        <v>Negative</v>
      </c>
      <c r="Q265" s="1">
        <f>(Table1[[#This Row],[Total_System_Load]]-Table1[[#This Row],[Total_Children_Under_Care]])/Table1[[#This Row],[Total_Children_Under_Care]]*100</f>
        <v>7.8167115902964959</v>
      </c>
      <c r="R265" s="1">
        <f>(Table1[[#This Row],[Children_discharged _from_HHS_ Care]]/Table1[[#This Row],[Children_transferred_out_of_CBP_custody]])</f>
        <v>0.58760107816711593</v>
      </c>
    </row>
    <row r="266" spans="1:18" x14ac:dyDescent="0.3">
      <c r="A266">
        <v>265</v>
      </c>
      <c r="B266" s="7">
        <v>45342</v>
      </c>
      <c r="C266" s="5">
        <v>149</v>
      </c>
      <c r="D266" s="5">
        <v>395</v>
      </c>
      <c r="E266" s="5">
        <v>273</v>
      </c>
      <c r="F266" s="5">
        <v>8488</v>
      </c>
      <c r="G266" s="5">
        <v>192</v>
      </c>
      <c r="H266" t="str">
        <f t="shared" si="21"/>
        <v>Valid</v>
      </c>
      <c r="I266" t="str">
        <f t="shared" si="22"/>
        <v>Valid</v>
      </c>
      <c r="J266" s="5">
        <f t="shared" si="23"/>
        <v>8296</v>
      </c>
      <c r="K266" s="5">
        <f t="shared" si="24"/>
        <v>8883</v>
      </c>
      <c r="L266" s="5">
        <f>IF(Table1[[#This Row],[Total_System_Load]]&gt;80%*AVERAGE(Table1[Total_System_Load]),Table1[[#This Row],[Total_System_Load]]-Table1[[#This Row],[Total_Children_Under_Care]],0)</f>
        <v>587</v>
      </c>
      <c r="M266" s="5">
        <f t="shared" si="20"/>
        <v>81</v>
      </c>
      <c r="N266" s="5">
        <f>M267-Table1[[#This Row],[Net_Daily_Intake]]</f>
        <v>6</v>
      </c>
      <c r="O266" s="5">
        <f>M267-Table1[[#This Row],[Net_Daily_Intake]]/Table1[[#This Row],[Net_Daily_Intake]]</f>
        <v>86</v>
      </c>
      <c r="P266" t="str">
        <f>IF(Table1[[#This Row],[Change_in_Net_Daily_Intake]]&gt;0,"Sustained Positive","Negative")</f>
        <v>Sustained Positive</v>
      </c>
      <c r="Q266" s="1">
        <f>(Table1[[#This Row],[Total_System_Load]]-Table1[[#This Row],[Total_Children_Under_Care]])/Table1[[#This Row],[Total_Children_Under_Care]]*100</f>
        <v>7.0756991321118612</v>
      </c>
      <c r="R266" s="1">
        <f>(Table1[[#This Row],[Children_discharged _from_HHS_ Care]]/Table1[[#This Row],[Children_transferred_out_of_CBP_custody]])</f>
        <v>0.70329670329670335</v>
      </c>
    </row>
    <row r="267" spans="1:18" x14ac:dyDescent="0.3">
      <c r="A267">
        <v>266</v>
      </c>
      <c r="B267" s="7">
        <v>45343</v>
      </c>
      <c r="C267" s="5">
        <v>232</v>
      </c>
      <c r="D267" s="5">
        <v>430</v>
      </c>
      <c r="E267" s="5">
        <v>318</v>
      </c>
      <c r="F267" s="5">
        <v>8573</v>
      </c>
      <c r="G267" s="5">
        <v>231</v>
      </c>
      <c r="H267" t="str">
        <f t="shared" si="21"/>
        <v>Valid</v>
      </c>
      <c r="I267" t="str">
        <f t="shared" si="22"/>
        <v>Valid</v>
      </c>
      <c r="J267" s="5">
        <f t="shared" si="23"/>
        <v>8342</v>
      </c>
      <c r="K267" s="5">
        <f t="shared" si="24"/>
        <v>9003</v>
      </c>
      <c r="L267" s="5">
        <f>IF(Table1[[#This Row],[Total_System_Load]]&gt;80%*AVERAGE(Table1[Total_System_Load]),Table1[[#This Row],[Total_System_Load]]-Table1[[#This Row],[Total_Children_Under_Care]],0)</f>
        <v>661</v>
      </c>
      <c r="M267" s="5">
        <f t="shared" si="20"/>
        <v>87</v>
      </c>
      <c r="N267" s="5">
        <f>M268-Table1[[#This Row],[Net_Daily_Intake]]</f>
        <v>-88</v>
      </c>
      <c r="O267" s="5">
        <f>M268-Table1[[#This Row],[Net_Daily_Intake]]/Table1[[#This Row],[Net_Daily_Intake]]</f>
        <v>-2</v>
      </c>
      <c r="P267" t="str">
        <f>IF(Table1[[#This Row],[Change_in_Net_Daily_Intake]]&gt;0,"Sustained Positive","Negative")</f>
        <v>Negative</v>
      </c>
      <c r="Q267" s="1">
        <f>(Table1[[#This Row],[Total_System_Load]]-Table1[[#This Row],[Total_Children_Under_Care]])/Table1[[#This Row],[Total_Children_Under_Care]]*100</f>
        <v>7.9237592903380492</v>
      </c>
      <c r="R267" s="1">
        <f>(Table1[[#This Row],[Children_discharged _from_HHS_ Care]]/Table1[[#This Row],[Children_transferred_out_of_CBP_custody]])</f>
        <v>0.72641509433962259</v>
      </c>
    </row>
    <row r="268" spans="1:18" x14ac:dyDescent="0.3">
      <c r="A268">
        <v>267</v>
      </c>
      <c r="B268" s="7">
        <v>45344</v>
      </c>
      <c r="C268" s="5">
        <v>165</v>
      </c>
      <c r="D268" s="5">
        <v>400</v>
      </c>
      <c r="E268" s="5">
        <v>292</v>
      </c>
      <c r="F268" s="5">
        <v>8607</v>
      </c>
      <c r="G268" s="5">
        <v>293</v>
      </c>
      <c r="H268" t="str">
        <f t="shared" si="21"/>
        <v>Valid</v>
      </c>
      <c r="I268" t="str">
        <f t="shared" si="22"/>
        <v>Valid</v>
      </c>
      <c r="J268" s="5">
        <f t="shared" si="23"/>
        <v>8314</v>
      </c>
      <c r="K268" s="5">
        <f t="shared" si="24"/>
        <v>9007</v>
      </c>
      <c r="L268" s="5">
        <f>IF(Table1[[#This Row],[Total_System_Load]]&gt;80%*AVERAGE(Table1[Total_System_Load]),Table1[[#This Row],[Total_System_Load]]-Table1[[#This Row],[Total_Children_Under_Care]],0)</f>
        <v>693</v>
      </c>
      <c r="M268" s="5">
        <f t="shared" si="20"/>
        <v>-1</v>
      </c>
      <c r="N268" s="5">
        <f>M269-Table1[[#This Row],[Net_Daily_Intake]]</f>
        <v>38</v>
      </c>
      <c r="O268" s="5">
        <f>M269-Table1[[#This Row],[Net_Daily_Intake]]/Table1[[#This Row],[Net_Daily_Intake]]</f>
        <v>36</v>
      </c>
      <c r="P268" t="str">
        <f>IF(Table1[[#This Row],[Change_in_Net_Daily_Intake]]&gt;0,"Sustained Positive","Negative")</f>
        <v>Sustained Positive</v>
      </c>
      <c r="Q268" s="1">
        <f>(Table1[[#This Row],[Total_System_Load]]-Table1[[#This Row],[Total_Children_Under_Care]])/Table1[[#This Row],[Total_Children_Under_Care]]*100</f>
        <v>8.3353379841231661</v>
      </c>
      <c r="R268" s="1">
        <f>(Table1[[#This Row],[Children_discharged _from_HHS_ Care]]/Table1[[#This Row],[Children_transferred_out_of_CBP_custody]])</f>
        <v>1.0034246575342465</v>
      </c>
    </row>
    <row r="269" spans="1:18" x14ac:dyDescent="0.3">
      <c r="A269">
        <v>268</v>
      </c>
      <c r="B269" s="7">
        <v>45347</v>
      </c>
      <c r="C269" s="5">
        <v>244</v>
      </c>
      <c r="D269" s="5">
        <v>482</v>
      </c>
      <c r="E269" s="5">
        <v>366</v>
      </c>
      <c r="F269" s="5">
        <v>8404</v>
      </c>
      <c r="G269" s="5">
        <v>329</v>
      </c>
      <c r="H269" t="str">
        <f t="shared" si="21"/>
        <v>Valid</v>
      </c>
      <c r="I269" t="str">
        <f t="shared" si="22"/>
        <v>Valid</v>
      </c>
      <c r="J269" s="5">
        <f t="shared" si="23"/>
        <v>8075</v>
      </c>
      <c r="K269" s="5">
        <f t="shared" si="24"/>
        <v>8886</v>
      </c>
      <c r="L269" s="5">
        <f>IF(Table1[[#This Row],[Total_System_Load]]&gt;80%*AVERAGE(Table1[Total_System_Load]),Table1[[#This Row],[Total_System_Load]]-Table1[[#This Row],[Total_Children_Under_Care]],0)</f>
        <v>811</v>
      </c>
      <c r="M269" s="5">
        <f t="shared" si="20"/>
        <v>37</v>
      </c>
      <c r="N269" s="5">
        <f>M270-Table1[[#This Row],[Net_Daily_Intake]]</f>
        <v>-40</v>
      </c>
      <c r="O269" s="5">
        <f>M270-Table1[[#This Row],[Net_Daily_Intake]]/Table1[[#This Row],[Net_Daily_Intake]]</f>
        <v>-4</v>
      </c>
      <c r="P269" t="str">
        <f>IF(Table1[[#This Row],[Change_in_Net_Daily_Intake]]&gt;0,"Sustained Positive","Negative")</f>
        <v>Negative</v>
      </c>
      <c r="Q269" s="1">
        <f>(Table1[[#This Row],[Total_System_Load]]-Table1[[#This Row],[Total_Children_Under_Care]])/Table1[[#This Row],[Total_Children_Under_Care]]*100</f>
        <v>10.043343653250773</v>
      </c>
      <c r="R269" s="1">
        <f>(Table1[[#This Row],[Children_discharged _from_HHS_ Care]]/Table1[[#This Row],[Children_transferred_out_of_CBP_custody]])</f>
        <v>0.89890710382513661</v>
      </c>
    </row>
    <row r="270" spans="1:18" x14ac:dyDescent="0.3">
      <c r="A270">
        <v>269</v>
      </c>
      <c r="B270" s="7">
        <v>45348</v>
      </c>
      <c r="C270" s="5">
        <v>199</v>
      </c>
      <c r="D270" s="5">
        <v>438</v>
      </c>
      <c r="E270" s="5">
        <v>326</v>
      </c>
      <c r="F270" s="5">
        <v>8404</v>
      </c>
      <c r="G270" s="5">
        <v>329</v>
      </c>
      <c r="H270" t="str">
        <f t="shared" si="21"/>
        <v>Valid</v>
      </c>
      <c r="I270" t="str">
        <f t="shared" si="22"/>
        <v>Valid</v>
      </c>
      <c r="J270" s="5">
        <f t="shared" si="23"/>
        <v>8075</v>
      </c>
      <c r="K270" s="5">
        <f t="shared" si="24"/>
        <v>8842</v>
      </c>
      <c r="L270" s="5">
        <f>IF(Table1[[#This Row],[Total_System_Load]]&gt;80%*AVERAGE(Table1[Total_System_Load]),Table1[[#This Row],[Total_System_Load]]-Table1[[#This Row],[Total_Children_Under_Care]],0)</f>
        <v>767</v>
      </c>
      <c r="M270" s="5">
        <f t="shared" si="20"/>
        <v>-3</v>
      </c>
      <c r="N270" s="5">
        <f>M271-Table1[[#This Row],[Net_Daily_Intake]]</f>
        <v>103</v>
      </c>
      <c r="O270" s="5">
        <f>M271-Table1[[#This Row],[Net_Daily_Intake]]/Table1[[#This Row],[Net_Daily_Intake]]</f>
        <v>99</v>
      </c>
      <c r="P270" t="str">
        <f>IF(Table1[[#This Row],[Change_in_Net_Daily_Intake]]&gt;0,"Sustained Positive","Negative")</f>
        <v>Sustained Positive</v>
      </c>
      <c r="Q270" s="1">
        <f>(Table1[[#This Row],[Total_System_Load]]-Table1[[#This Row],[Total_Children_Under_Care]])/Table1[[#This Row],[Total_Children_Under_Care]]*100</f>
        <v>9.4984520123839005</v>
      </c>
      <c r="R270" s="1">
        <f>(Table1[[#This Row],[Children_discharged _from_HHS_ Care]]/Table1[[#This Row],[Children_transferred_out_of_CBP_custody]])</f>
        <v>1.00920245398773</v>
      </c>
    </row>
    <row r="271" spans="1:18" x14ac:dyDescent="0.3">
      <c r="A271">
        <v>270</v>
      </c>
      <c r="B271" s="7">
        <v>45349</v>
      </c>
      <c r="C271" s="5">
        <v>197</v>
      </c>
      <c r="D271" s="5">
        <v>369</v>
      </c>
      <c r="E271" s="5">
        <v>306</v>
      </c>
      <c r="F271" s="5">
        <v>8650</v>
      </c>
      <c r="G271" s="5">
        <v>206</v>
      </c>
      <c r="H271" t="str">
        <f t="shared" si="21"/>
        <v>Valid</v>
      </c>
      <c r="I271" t="str">
        <f t="shared" si="22"/>
        <v>Valid</v>
      </c>
      <c r="J271" s="5">
        <f t="shared" si="23"/>
        <v>8444</v>
      </c>
      <c r="K271" s="5">
        <f t="shared" si="24"/>
        <v>9019</v>
      </c>
      <c r="L271" s="5">
        <f>IF(Table1[[#This Row],[Total_System_Load]]&gt;80%*AVERAGE(Table1[Total_System_Load]),Table1[[#This Row],[Total_System_Load]]-Table1[[#This Row],[Total_Children_Under_Care]],0)</f>
        <v>575</v>
      </c>
      <c r="M271" s="5">
        <f t="shared" si="20"/>
        <v>100</v>
      </c>
      <c r="N271" s="5">
        <f>M272-Table1[[#This Row],[Net_Daily_Intake]]</f>
        <v>-83</v>
      </c>
      <c r="O271" s="5">
        <f>M272-Table1[[#This Row],[Net_Daily_Intake]]/Table1[[#This Row],[Net_Daily_Intake]]</f>
        <v>16</v>
      </c>
      <c r="P271" t="str">
        <f>IF(Table1[[#This Row],[Change_in_Net_Daily_Intake]]&gt;0,"Sustained Positive","Negative")</f>
        <v>Negative</v>
      </c>
      <c r="Q271" s="1">
        <f>(Table1[[#This Row],[Total_System_Load]]-Table1[[#This Row],[Total_Children_Under_Care]])/Table1[[#This Row],[Total_Children_Under_Care]]*100</f>
        <v>6.8095689246802467</v>
      </c>
      <c r="R271" s="1">
        <f>(Table1[[#This Row],[Children_discharged _from_HHS_ Care]]/Table1[[#This Row],[Children_transferred_out_of_CBP_custody]])</f>
        <v>0.67320261437908502</v>
      </c>
    </row>
    <row r="272" spans="1:18" x14ac:dyDescent="0.3">
      <c r="A272">
        <v>271</v>
      </c>
      <c r="B272" s="7">
        <v>45350</v>
      </c>
      <c r="C272" s="5">
        <v>209</v>
      </c>
      <c r="D272" s="5">
        <v>447</v>
      </c>
      <c r="E272" s="5">
        <v>274</v>
      </c>
      <c r="F272" s="5">
        <v>8699</v>
      </c>
      <c r="G272" s="5">
        <v>257</v>
      </c>
      <c r="H272" t="str">
        <f t="shared" si="21"/>
        <v>Valid</v>
      </c>
      <c r="I272" t="str">
        <f t="shared" si="22"/>
        <v>Valid</v>
      </c>
      <c r="J272" s="5">
        <f t="shared" si="23"/>
        <v>8442</v>
      </c>
      <c r="K272" s="5">
        <f t="shared" si="24"/>
        <v>9146</v>
      </c>
      <c r="L272" s="5">
        <f>IF(Table1[[#This Row],[Total_System_Load]]&gt;80%*AVERAGE(Table1[Total_System_Load]),Table1[[#This Row],[Total_System_Load]]-Table1[[#This Row],[Total_Children_Under_Care]],0)</f>
        <v>704</v>
      </c>
      <c r="M272" s="5">
        <f t="shared" si="20"/>
        <v>17</v>
      </c>
      <c r="N272" s="5">
        <f>M273-Table1[[#This Row],[Net_Daily_Intake]]</f>
        <v>38</v>
      </c>
      <c r="O272" s="5">
        <f>M273-Table1[[#This Row],[Net_Daily_Intake]]/Table1[[#This Row],[Net_Daily_Intake]]</f>
        <v>54</v>
      </c>
      <c r="P272" t="str">
        <f>IF(Table1[[#This Row],[Change_in_Net_Daily_Intake]]&gt;0,"Sustained Positive","Negative")</f>
        <v>Sustained Positive</v>
      </c>
      <c r="Q272" s="1">
        <f>(Table1[[#This Row],[Total_System_Load]]-Table1[[#This Row],[Total_Children_Under_Care]])/Table1[[#This Row],[Total_Children_Under_Care]]*100</f>
        <v>8.3392561004501307</v>
      </c>
      <c r="R272" s="1">
        <f>(Table1[[#This Row],[Children_discharged _from_HHS_ Care]]/Table1[[#This Row],[Children_transferred_out_of_CBP_custody]])</f>
        <v>0.93795620437956206</v>
      </c>
    </row>
    <row r="273" spans="1:18" x14ac:dyDescent="0.3">
      <c r="A273">
        <v>272</v>
      </c>
      <c r="B273" s="7">
        <v>45351</v>
      </c>
      <c r="C273" s="5">
        <v>262</v>
      </c>
      <c r="D273" s="5">
        <v>444</v>
      </c>
      <c r="E273" s="5">
        <v>354</v>
      </c>
      <c r="F273" s="5">
        <v>8724</v>
      </c>
      <c r="G273" s="5">
        <v>299</v>
      </c>
      <c r="H273" t="str">
        <f t="shared" si="21"/>
        <v>Valid</v>
      </c>
      <c r="I273" t="str">
        <f t="shared" si="22"/>
        <v>Valid</v>
      </c>
      <c r="J273" s="5">
        <f t="shared" si="23"/>
        <v>8425</v>
      </c>
      <c r="K273" s="5">
        <f t="shared" si="24"/>
        <v>9168</v>
      </c>
      <c r="L273" s="5">
        <f>IF(Table1[[#This Row],[Total_System_Load]]&gt;80%*AVERAGE(Table1[Total_System_Load]),Table1[[#This Row],[Total_System_Load]]-Table1[[#This Row],[Total_Children_Under_Care]],0)</f>
        <v>743</v>
      </c>
      <c r="M273" s="5">
        <f t="shared" si="20"/>
        <v>55</v>
      </c>
      <c r="N273" s="5">
        <f>M274-Table1[[#This Row],[Net_Daily_Intake]]</f>
        <v>-62</v>
      </c>
      <c r="O273" s="5">
        <f>M274-Table1[[#This Row],[Net_Daily_Intake]]/Table1[[#This Row],[Net_Daily_Intake]]</f>
        <v>-8</v>
      </c>
      <c r="P273" t="str">
        <f>IF(Table1[[#This Row],[Change_in_Net_Daily_Intake]]&gt;0,"Sustained Positive","Negative")</f>
        <v>Negative</v>
      </c>
      <c r="Q273" s="1">
        <f>(Table1[[#This Row],[Total_System_Load]]-Table1[[#This Row],[Total_Children_Under_Care]])/Table1[[#This Row],[Total_Children_Under_Care]]*100</f>
        <v>8.818991097922849</v>
      </c>
      <c r="R273" s="1">
        <f>(Table1[[#This Row],[Children_discharged _from_HHS_ Care]]/Table1[[#This Row],[Children_transferred_out_of_CBP_custody]])</f>
        <v>0.84463276836158196</v>
      </c>
    </row>
    <row r="274" spans="1:18" x14ac:dyDescent="0.3">
      <c r="A274">
        <v>273</v>
      </c>
      <c r="B274" s="7">
        <v>45354</v>
      </c>
      <c r="C274" s="5">
        <v>236</v>
      </c>
      <c r="D274" s="5">
        <v>468</v>
      </c>
      <c r="E274" s="5">
        <v>347</v>
      </c>
      <c r="F274" s="5">
        <v>8594</v>
      </c>
      <c r="G274" s="5">
        <v>354</v>
      </c>
      <c r="H274" t="str">
        <f t="shared" si="21"/>
        <v>Valid</v>
      </c>
      <c r="I274" t="str">
        <f t="shared" si="22"/>
        <v>Valid</v>
      </c>
      <c r="J274" s="5">
        <f t="shared" si="23"/>
        <v>8240</v>
      </c>
      <c r="K274" s="5">
        <f t="shared" si="24"/>
        <v>9062</v>
      </c>
      <c r="L274" s="5">
        <f>IF(Table1[[#This Row],[Total_System_Load]]&gt;80%*AVERAGE(Table1[Total_System_Load]),Table1[[#This Row],[Total_System_Load]]-Table1[[#This Row],[Total_Children_Under_Care]],0)</f>
        <v>822</v>
      </c>
      <c r="M274" s="5">
        <f t="shared" si="20"/>
        <v>-7</v>
      </c>
      <c r="N274" s="5">
        <f>M275-Table1[[#This Row],[Net_Daily_Intake]]</f>
        <v>118</v>
      </c>
      <c r="O274" s="5">
        <f>M275-Table1[[#This Row],[Net_Daily_Intake]]/Table1[[#This Row],[Net_Daily_Intake]]</f>
        <v>110</v>
      </c>
      <c r="P274" t="str">
        <f>IF(Table1[[#This Row],[Change_in_Net_Daily_Intake]]&gt;0,"Sustained Positive","Negative")</f>
        <v>Sustained Positive</v>
      </c>
      <c r="Q274" s="1">
        <f>(Table1[[#This Row],[Total_System_Load]]-Table1[[#This Row],[Total_Children_Under_Care]])/Table1[[#This Row],[Total_Children_Under_Care]]*100</f>
        <v>9.9757281553398052</v>
      </c>
      <c r="R274" s="1">
        <f>(Table1[[#This Row],[Children_discharged _from_HHS_ Care]]/Table1[[#This Row],[Children_transferred_out_of_CBP_custody]])</f>
        <v>1.0201729106628241</v>
      </c>
    </row>
    <row r="275" spans="1:18" x14ac:dyDescent="0.3">
      <c r="A275">
        <v>274</v>
      </c>
      <c r="B275" s="7">
        <v>45355</v>
      </c>
      <c r="C275" s="5">
        <v>225</v>
      </c>
      <c r="D275" s="5">
        <v>509</v>
      </c>
      <c r="E275" s="5">
        <v>340</v>
      </c>
      <c r="F275" s="5">
        <v>8660</v>
      </c>
      <c r="G275" s="5">
        <v>229</v>
      </c>
      <c r="H275" t="str">
        <f t="shared" si="21"/>
        <v>Valid</v>
      </c>
      <c r="I275" t="str">
        <f t="shared" si="22"/>
        <v>Valid</v>
      </c>
      <c r="J275" s="5">
        <f t="shared" si="23"/>
        <v>8431</v>
      </c>
      <c r="K275" s="5">
        <f t="shared" si="24"/>
        <v>9169</v>
      </c>
      <c r="L275" s="5">
        <f>IF(Table1[[#This Row],[Total_System_Load]]&gt;80%*AVERAGE(Table1[Total_System_Load]),Table1[[#This Row],[Total_System_Load]]-Table1[[#This Row],[Total_Children_Under_Care]],0)</f>
        <v>738</v>
      </c>
      <c r="M275" s="5">
        <f t="shared" si="20"/>
        <v>111</v>
      </c>
      <c r="N275" s="5">
        <f>M276-Table1[[#This Row],[Net_Daily_Intake]]</f>
        <v>20</v>
      </c>
      <c r="O275" s="5">
        <f>M276-Table1[[#This Row],[Net_Daily_Intake]]/Table1[[#This Row],[Net_Daily_Intake]]</f>
        <v>130</v>
      </c>
      <c r="P275" t="str">
        <f>IF(Table1[[#This Row],[Change_in_Net_Daily_Intake]]&gt;0,"Sustained Positive","Negative")</f>
        <v>Sustained Positive</v>
      </c>
      <c r="Q275" s="1">
        <f>(Table1[[#This Row],[Total_System_Load]]-Table1[[#This Row],[Total_Children_Under_Care]])/Table1[[#This Row],[Total_Children_Under_Care]]*100</f>
        <v>8.7534100343968682</v>
      </c>
      <c r="R275" s="1">
        <f>(Table1[[#This Row],[Children_discharged _from_HHS_ Care]]/Table1[[#This Row],[Children_transferred_out_of_CBP_custody]])</f>
        <v>0.67352941176470593</v>
      </c>
    </row>
    <row r="276" spans="1:18" x14ac:dyDescent="0.3">
      <c r="A276">
        <v>275</v>
      </c>
      <c r="B276" s="7">
        <v>45356</v>
      </c>
      <c r="C276" s="5">
        <v>246</v>
      </c>
      <c r="D276" s="5">
        <v>472</v>
      </c>
      <c r="E276" s="5">
        <v>345</v>
      </c>
      <c r="F276" s="5">
        <v>8800</v>
      </c>
      <c r="G276" s="5">
        <v>214</v>
      </c>
      <c r="H276" t="str">
        <f t="shared" si="21"/>
        <v>Valid</v>
      </c>
      <c r="I276" t="str">
        <f t="shared" si="22"/>
        <v>Valid</v>
      </c>
      <c r="J276" s="5">
        <f t="shared" si="23"/>
        <v>8586</v>
      </c>
      <c r="K276" s="5">
        <f t="shared" si="24"/>
        <v>9272</v>
      </c>
      <c r="L276" s="5">
        <f>IF(Table1[[#This Row],[Total_System_Load]]&gt;80%*AVERAGE(Table1[Total_System_Load]),Table1[[#This Row],[Total_System_Load]]-Table1[[#This Row],[Total_Children_Under_Care]],0)</f>
        <v>686</v>
      </c>
      <c r="M276" s="5">
        <f t="shared" si="20"/>
        <v>131</v>
      </c>
      <c r="N276" s="5">
        <f>M277-Table1[[#This Row],[Net_Daily_Intake]]</f>
        <v>-86</v>
      </c>
      <c r="O276" s="5">
        <f>M277-Table1[[#This Row],[Net_Daily_Intake]]/Table1[[#This Row],[Net_Daily_Intake]]</f>
        <v>44</v>
      </c>
      <c r="P276" t="str">
        <f>IF(Table1[[#This Row],[Change_in_Net_Daily_Intake]]&gt;0,"Sustained Positive","Negative")</f>
        <v>Negative</v>
      </c>
      <c r="Q276" s="1">
        <f>(Table1[[#This Row],[Total_System_Load]]-Table1[[#This Row],[Total_Children_Under_Care]])/Table1[[#This Row],[Total_Children_Under_Care]]*100</f>
        <v>7.9897507570463544</v>
      </c>
      <c r="R276" s="1">
        <f>(Table1[[#This Row],[Children_discharged _from_HHS_ Care]]/Table1[[#This Row],[Children_transferred_out_of_CBP_custody]])</f>
        <v>0.62028985507246381</v>
      </c>
    </row>
    <row r="277" spans="1:18" x14ac:dyDescent="0.3">
      <c r="A277">
        <v>276</v>
      </c>
      <c r="B277" s="7">
        <v>45357</v>
      </c>
      <c r="C277" s="5">
        <v>230</v>
      </c>
      <c r="D277" s="5">
        <v>457</v>
      </c>
      <c r="E277" s="5">
        <v>277</v>
      </c>
      <c r="F277" s="5">
        <v>8870</v>
      </c>
      <c r="G277" s="5">
        <v>232</v>
      </c>
      <c r="H277" t="str">
        <f t="shared" si="21"/>
        <v>Valid</v>
      </c>
      <c r="I277" t="str">
        <f t="shared" si="22"/>
        <v>Valid</v>
      </c>
      <c r="J277" s="5">
        <f t="shared" si="23"/>
        <v>8638</v>
      </c>
      <c r="K277" s="5">
        <f t="shared" si="24"/>
        <v>9327</v>
      </c>
      <c r="L277" s="5">
        <f>IF(Table1[[#This Row],[Total_System_Load]]&gt;80%*AVERAGE(Table1[Total_System_Load]),Table1[[#This Row],[Total_System_Load]]-Table1[[#This Row],[Total_Children_Under_Care]],0)</f>
        <v>689</v>
      </c>
      <c r="M277" s="5">
        <f t="shared" si="20"/>
        <v>45</v>
      </c>
      <c r="N277" s="5">
        <f>M278-Table1[[#This Row],[Net_Daily_Intake]]</f>
        <v>-22</v>
      </c>
      <c r="O277" s="5">
        <f>M278-Table1[[#This Row],[Net_Daily_Intake]]/Table1[[#This Row],[Net_Daily_Intake]]</f>
        <v>22</v>
      </c>
      <c r="P277" t="str">
        <f>IF(Table1[[#This Row],[Change_in_Net_Daily_Intake]]&gt;0,"Sustained Positive","Negative")</f>
        <v>Negative</v>
      </c>
      <c r="Q277" s="1">
        <f>(Table1[[#This Row],[Total_System_Load]]-Table1[[#This Row],[Total_Children_Under_Care]])/Table1[[#This Row],[Total_Children_Under_Care]]*100</f>
        <v>7.9763834220884471</v>
      </c>
      <c r="R277" s="1">
        <f>(Table1[[#This Row],[Children_discharged _from_HHS_ Care]]/Table1[[#This Row],[Children_transferred_out_of_CBP_custody]])</f>
        <v>0.83754512635379064</v>
      </c>
    </row>
    <row r="278" spans="1:18" x14ac:dyDescent="0.3">
      <c r="A278">
        <v>277</v>
      </c>
      <c r="B278" s="7">
        <v>45358</v>
      </c>
      <c r="C278" s="5">
        <v>181</v>
      </c>
      <c r="D278" s="5">
        <v>424</v>
      </c>
      <c r="E278" s="5">
        <v>328</v>
      </c>
      <c r="F278" s="5">
        <v>8902</v>
      </c>
      <c r="G278" s="5">
        <v>305</v>
      </c>
      <c r="H278" t="str">
        <f t="shared" si="21"/>
        <v>Valid</v>
      </c>
      <c r="I278" t="str">
        <f t="shared" si="22"/>
        <v>Valid</v>
      </c>
      <c r="J278" s="5">
        <f t="shared" si="23"/>
        <v>8597</v>
      </c>
      <c r="K278" s="5">
        <f t="shared" si="24"/>
        <v>9326</v>
      </c>
      <c r="L278" s="5">
        <f>IF(Table1[[#This Row],[Total_System_Load]]&gt;80%*AVERAGE(Table1[Total_System_Load]),Table1[[#This Row],[Total_System_Load]]-Table1[[#This Row],[Total_Children_Under_Care]],0)</f>
        <v>729</v>
      </c>
      <c r="M278" s="5">
        <f t="shared" si="20"/>
        <v>23</v>
      </c>
      <c r="N278" s="5">
        <f>M279-Table1[[#This Row],[Net_Daily_Intake]]</f>
        <v>-70</v>
      </c>
      <c r="O278" s="5">
        <f>M279-Table1[[#This Row],[Net_Daily_Intake]]/Table1[[#This Row],[Net_Daily_Intake]]</f>
        <v>-48</v>
      </c>
      <c r="P278" t="str">
        <f>IF(Table1[[#This Row],[Change_in_Net_Daily_Intake]]&gt;0,"Sustained Positive","Negative")</f>
        <v>Negative</v>
      </c>
      <c r="Q278" s="1">
        <f>(Table1[[#This Row],[Total_System_Load]]-Table1[[#This Row],[Total_Children_Under_Care]])/Table1[[#This Row],[Total_Children_Under_Care]]*100</f>
        <v>8.4797022217052458</v>
      </c>
      <c r="R278" s="1">
        <f>(Table1[[#This Row],[Children_discharged _from_HHS_ Care]]/Table1[[#This Row],[Children_transferred_out_of_CBP_custody]])</f>
        <v>0.92987804878048785</v>
      </c>
    </row>
    <row r="279" spans="1:18" x14ac:dyDescent="0.3">
      <c r="A279">
        <v>278</v>
      </c>
      <c r="B279" s="7">
        <v>45361</v>
      </c>
      <c r="C279" s="5">
        <v>190</v>
      </c>
      <c r="D279" s="5">
        <v>368</v>
      </c>
      <c r="E279" s="5">
        <v>326</v>
      </c>
      <c r="F279" s="5">
        <v>8714</v>
      </c>
      <c r="G279" s="5">
        <v>373</v>
      </c>
      <c r="H279" t="str">
        <f t="shared" si="21"/>
        <v>Valid</v>
      </c>
      <c r="I279" t="str">
        <f t="shared" si="22"/>
        <v>Valid</v>
      </c>
      <c r="J279" s="5">
        <f t="shared" si="23"/>
        <v>8341</v>
      </c>
      <c r="K279" s="5">
        <f t="shared" si="24"/>
        <v>9082</v>
      </c>
      <c r="L279" s="5">
        <f>IF(Table1[[#This Row],[Total_System_Load]]&gt;80%*AVERAGE(Table1[Total_System_Load]),Table1[[#This Row],[Total_System_Load]]-Table1[[#This Row],[Total_Children_Under_Care]],0)</f>
        <v>741</v>
      </c>
      <c r="M279" s="5">
        <f t="shared" si="20"/>
        <v>-47</v>
      </c>
      <c r="N279" s="5">
        <f>M280-Table1[[#This Row],[Net_Daily_Intake]]</f>
        <v>84</v>
      </c>
      <c r="O279" s="5">
        <f>M280-Table1[[#This Row],[Net_Daily_Intake]]/Table1[[#This Row],[Net_Daily_Intake]]</f>
        <v>36</v>
      </c>
      <c r="P279" t="str">
        <f>IF(Table1[[#This Row],[Change_in_Net_Daily_Intake]]&gt;0,"Sustained Positive","Negative")</f>
        <v>Sustained Positive</v>
      </c>
      <c r="Q279" s="1">
        <f>(Table1[[#This Row],[Total_System_Load]]-Table1[[#This Row],[Total_Children_Under_Care]])/Table1[[#This Row],[Total_Children_Under_Care]]*100</f>
        <v>8.8838268792710693</v>
      </c>
      <c r="R279" s="1">
        <f>(Table1[[#This Row],[Children_discharged _from_HHS_ Care]]/Table1[[#This Row],[Children_transferred_out_of_CBP_custody]])</f>
        <v>1.1441717791411044</v>
      </c>
    </row>
    <row r="280" spans="1:18" x14ac:dyDescent="0.3">
      <c r="A280">
        <v>279</v>
      </c>
      <c r="B280" s="7">
        <v>45362</v>
      </c>
      <c r="C280" s="5">
        <v>178</v>
      </c>
      <c r="D280" s="5">
        <v>336</v>
      </c>
      <c r="E280" s="5">
        <v>290</v>
      </c>
      <c r="F280" s="5">
        <v>8757</v>
      </c>
      <c r="G280" s="5">
        <v>253</v>
      </c>
      <c r="H280" t="str">
        <f t="shared" si="21"/>
        <v>Valid</v>
      </c>
      <c r="I280" t="str">
        <f t="shared" si="22"/>
        <v>Valid</v>
      </c>
      <c r="J280" s="5">
        <f t="shared" si="23"/>
        <v>8504</v>
      </c>
      <c r="K280" s="5">
        <f t="shared" si="24"/>
        <v>9093</v>
      </c>
      <c r="L280" s="5">
        <f>IF(Table1[[#This Row],[Total_System_Load]]&gt;80%*AVERAGE(Table1[Total_System_Load]),Table1[[#This Row],[Total_System_Load]]-Table1[[#This Row],[Total_Children_Under_Care]],0)</f>
        <v>589</v>
      </c>
      <c r="M280" s="5">
        <f t="shared" si="20"/>
        <v>37</v>
      </c>
      <c r="N280" s="5">
        <f>M281-Table1[[#This Row],[Net_Daily_Intake]]</f>
        <v>40</v>
      </c>
      <c r="O280" s="5">
        <f>M281-Table1[[#This Row],[Net_Daily_Intake]]/Table1[[#This Row],[Net_Daily_Intake]]</f>
        <v>76</v>
      </c>
      <c r="P280" t="str">
        <f>IF(Table1[[#This Row],[Change_in_Net_Daily_Intake]]&gt;0,"Sustained Positive","Negative")</f>
        <v>Sustained Positive</v>
      </c>
      <c r="Q280" s="1">
        <f>(Table1[[#This Row],[Total_System_Load]]-Table1[[#This Row],[Total_Children_Under_Care]])/Table1[[#This Row],[Total_Children_Under_Care]]*100</f>
        <v>6.9261523988711202</v>
      </c>
      <c r="R280" s="1">
        <f>(Table1[[#This Row],[Children_discharged _from_HHS_ Care]]/Table1[[#This Row],[Children_transferred_out_of_CBP_custody]])</f>
        <v>0.87241379310344824</v>
      </c>
    </row>
    <row r="281" spans="1:18" x14ac:dyDescent="0.3">
      <c r="A281">
        <v>280</v>
      </c>
      <c r="B281" s="7">
        <v>45363</v>
      </c>
      <c r="C281" s="5">
        <v>154</v>
      </c>
      <c r="D281" s="5">
        <v>294</v>
      </c>
      <c r="E281" s="5">
        <v>290</v>
      </c>
      <c r="F281" s="5">
        <v>8843</v>
      </c>
      <c r="G281" s="5">
        <v>213</v>
      </c>
      <c r="H281" t="str">
        <f t="shared" si="21"/>
        <v>Valid</v>
      </c>
      <c r="I281" t="str">
        <f t="shared" si="22"/>
        <v>Valid</v>
      </c>
      <c r="J281" s="5">
        <f t="shared" si="23"/>
        <v>8630</v>
      </c>
      <c r="K281" s="5">
        <f t="shared" si="24"/>
        <v>9137</v>
      </c>
      <c r="L281" s="5">
        <f>IF(Table1[[#This Row],[Total_System_Load]]&gt;80%*AVERAGE(Table1[Total_System_Load]),Table1[[#This Row],[Total_System_Load]]-Table1[[#This Row],[Total_Children_Under_Care]],0)</f>
        <v>507</v>
      </c>
      <c r="M281" s="5">
        <f t="shared" si="20"/>
        <v>77</v>
      </c>
      <c r="N281" s="5">
        <f>M282-Table1[[#This Row],[Net_Daily_Intake]]</f>
        <v>-149</v>
      </c>
      <c r="O281" s="5">
        <f>M282-Table1[[#This Row],[Net_Daily_Intake]]/Table1[[#This Row],[Net_Daily_Intake]]</f>
        <v>-73</v>
      </c>
      <c r="P281" t="str">
        <f>IF(Table1[[#This Row],[Change_in_Net_Daily_Intake]]&gt;0,"Sustained Positive","Negative")</f>
        <v>Negative</v>
      </c>
      <c r="Q281" s="1">
        <f>(Table1[[#This Row],[Total_System_Load]]-Table1[[#This Row],[Total_Children_Under_Care]])/Table1[[#This Row],[Total_Children_Under_Care]]*100</f>
        <v>5.8748551564310549</v>
      </c>
      <c r="R281" s="1">
        <f>(Table1[[#This Row],[Children_discharged _from_HHS_ Care]]/Table1[[#This Row],[Children_transferred_out_of_CBP_custody]])</f>
        <v>0.73448275862068968</v>
      </c>
    </row>
    <row r="282" spans="1:18" x14ac:dyDescent="0.3">
      <c r="A282">
        <v>281</v>
      </c>
      <c r="B282" s="7">
        <v>45364</v>
      </c>
      <c r="C282" s="5">
        <v>165</v>
      </c>
      <c r="D282" s="5">
        <v>358</v>
      </c>
      <c r="E282" s="5">
        <v>167</v>
      </c>
      <c r="F282" s="5">
        <v>8819</v>
      </c>
      <c r="G282" s="5">
        <v>239</v>
      </c>
      <c r="H282" t="str">
        <f t="shared" si="21"/>
        <v>Valid</v>
      </c>
      <c r="I282" t="str">
        <f t="shared" si="22"/>
        <v>Valid</v>
      </c>
      <c r="J282" s="5">
        <f t="shared" si="23"/>
        <v>8580</v>
      </c>
      <c r="K282" s="5">
        <f t="shared" si="24"/>
        <v>9177</v>
      </c>
      <c r="L282" s="5">
        <f>IF(Table1[[#This Row],[Total_System_Load]]&gt;80%*AVERAGE(Table1[Total_System_Load]),Table1[[#This Row],[Total_System_Load]]-Table1[[#This Row],[Total_Children_Under_Care]],0)</f>
        <v>597</v>
      </c>
      <c r="M282" s="5">
        <f t="shared" si="20"/>
        <v>-72</v>
      </c>
      <c r="N282" s="5">
        <f>M283-Table1[[#This Row],[Net_Daily_Intake]]</f>
        <v>14</v>
      </c>
      <c r="O282" s="5">
        <f>M283-Table1[[#This Row],[Net_Daily_Intake]]/Table1[[#This Row],[Net_Daily_Intake]]</f>
        <v>-59</v>
      </c>
      <c r="P282" t="str">
        <f>IF(Table1[[#This Row],[Change_in_Net_Daily_Intake]]&gt;0,"Sustained Positive","Negative")</f>
        <v>Sustained Positive</v>
      </c>
      <c r="Q282" s="1">
        <f>(Table1[[#This Row],[Total_System_Load]]-Table1[[#This Row],[Total_Children_Under_Care]])/Table1[[#This Row],[Total_Children_Under_Care]]*100</f>
        <v>6.9580419580419575</v>
      </c>
      <c r="R282" s="1">
        <f>(Table1[[#This Row],[Children_discharged _from_HHS_ Care]]/Table1[[#This Row],[Children_transferred_out_of_CBP_custody]])</f>
        <v>1.4311377245508983</v>
      </c>
    </row>
    <row r="283" spans="1:18" x14ac:dyDescent="0.3">
      <c r="A283">
        <v>282</v>
      </c>
      <c r="B283" s="7">
        <v>45365</v>
      </c>
      <c r="C283" s="5">
        <v>166</v>
      </c>
      <c r="D283" s="5">
        <v>301</v>
      </c>
      <c r="E283" s="5">
        <v>252</v>
      </c>
      <c r="F283" s="5">
        <v>8695</v>
      </c>
      <c r="G283" s="5">
        <v>310</v>
      </c>
      <c r="H283" t="str">
        <f t="shared" si="21"/>
        <v>Valid</v>
      </c>
      <c r="I283" t="str">
        <f t="shared" si="22"/>
        <v>Valid</v>
      </c>
      <c r="J283" s="5">
        <f t="shared" si="23"/>
        <v>8385</v>
      </c>
      <c r="K283" s="5">
        <f t="shared" si="24"/>
        <v>8996</v>
      </c>
      <c r="L283" s="5">
        <f>IF(Table1[[#This Row],[Total_System_Load]]&gt;80%*AVERAGE(Table1[Total_System_Load]),Table1[[#This Row],[Total_System_Load]]-Table1[[#This Row],[Total_Children_Under_Care]],0)</f>
        <v>611</v>
      </c>
      <c r="M283" s="5">
        <f t="shared" si="20"/>
        <v>-58</v>
      </c>
      <c r="N283" s="5">
        <f>M284-Table1[[#This Row],[Net_Daily_Intake]]</f>
        <v>-25</v>
      </c>
      <c r="O283" s="5">
        <f>M284-Table1[[#This Row],[Net_Daily_Intake]]/Table1[[#This Row],[Net_Daily_Intake]]</f>
        <v>-84</v>
      </c>
      <c r="P283" t="str">
        <f>IF(Table1[[#This Row],[Change_in_Net_Daily_Intake]]&gt;0,"Sustained Positive","Negative")</f>
        <v>Negative</v>
      </c>
      <c r="Q283" s="1">
        <f>(Table1[[#This Row],[Total_System_Load]]-Table1[[#This Row],[Total_Children_Under_Care]])/Table1[[#This Row],[Total_Children_Under_Care]]*100</f>
        <v>7.2868217054263562</v>
      </c>
      <c r="R283" s="1">
        <f>(Table1[[#This Row],[Children_discharged _from_HHS_ Care]]/Table1[[#This Row],[Children_transferred_out_of_CBP_custody]])</f>
        <v>1.2301587301587302</v>
      </c>
    </row>
    <row r="284" spans="1:18" x14ac:dyDescent="0.3">
      <c r="A284">
        <v>283</v>
      </c>
      <c r="B284" s="7">
        <v>45368</v>
      </c>
      <c r="C284" s="5">
        <v>127</v>
      </c>
      <c r="D284" s="5">
        <v>260</v>
      </c>
      <c r="E284" s="5">
        <v>259</v>
      </c>
      <c r="F284" s="5">
        <v>8373</v>
      </c>
      <c r="G284" s="5">
        <v>342</v>
      </c>
      <c r="H284" t="str">
        <f t="shared" si="21"/>
        <v>Valid</v>
      </c>
      <c r="I284" t="str">
        <f t="shared" si="22"/>
        <v>Valid</v>
      </c>
      <c r="J284" s="5">
        <f t="shared" si="23"/>
        <v>8031</v>
      </c>
      <c r="K284" s="5">
        <f t="shared" si="24"/>
        <v>8633</v>
      </c>
      <c r="L284" s="5">
        <f>IF(Table1[[#This Row],[Total_System_Load]]&gt;80%*AVERAGE(Table1[Total_System_Load]),Table1[[#This Row],[Total_System_Load]]-Table1[[#This Row],[Total_Children_Under_Care]],0)</f>
        <v>602</v>
      </c>
      <c r="M284" s="5">
        <f t="shared" si="20"/>
        <v>-83</v>
      </c>
      <c r="N284" s="5">
        <f>M285-Table1[[#This Row],[Net_Daily_Intake]]</f>
        <v>-12</v>
      </c>
      <c r="O284" s="5">
        <f>M285-Table1[[#This Row],[Net_Daily_Intake]]/Table1[[#This Row],[Net_Daily_Intake]]</f>
        <v>-96</v>
      </c>
      <c r="P284" t="str">
        <f>IF(Table1[[#This Row],[Change_in_Net_Daily_Intake]]&gt;0,"Sustained Positive","Negative")</f>
        <v>Negative</v>
      </c>
      <c r="Q284" s="1">
        <f>(Table1[[#This Row],[Total_System_Load]]-Table1[[#This Row],[Total_Children_Under_Care]])/Table1[[#This Row],[Total_Children_Under_Care]]*100</f>
        <v>7.4959531814219895</v>
      </c>
      <c r="R284" s="1">
        <f>(Table1[[#This Row],[Children_discharged _from_HHS_ Care]]/Table1[[#This Row],[Children_transferred_out_of_CBP_custody]])</f>
        <v>1.3204633204633205</v>
      </c>
    </row>
    <row r="285" spans="1:18" x14ac:dyDescent="0.3">
      <c r="A285">
        <v>284</v>
      </c>
      <c r="B285" s="7">
        <v>45369</v>
      </c>
      <c r="C285" s="5">
        <v>123</v>
      </c>
      <c r="D285" s="5">
        <v>243</v>
      </c>
      <c r="E285" s="5">
        <v>188</v>
      </c>
      <c r="F285" s="5">
        <v>8333</v>
      </c>
      <c r="G285" s="5">
        <v>283</v>
      </c>
      <c r="H285" t="str">
        <f t="shared" si="21"/>
        <v>Valid</v>
      </c>
      <c r="I285" t="str">
        <f t="shared" si="22"/>
        <v>Valid</v>
      </c>
      <c r="J285" s="5">
        <f t="shared" si="23"/>
        <v>8050</v>
      </c>
      <c r="K285" s="5">
        <f t="shared" si="24"/>
        <v>8576</v>
      </c>
      <c r="L285" s="5">
        <f>IF(Table1[[#This Row],[Total_System_Load]]&gt;80%*AVERAGE(Table1[Total_System_Load]),Table1[[#This Row],[Total_System_Load]]-Table1[[#This Row],[Total_Children_Under_Care]],0)</f>
        <v>526</v>
      </c>
      <c r="M285" s="5">
        <f t="shared" si="20"/>
        <v>-95</v>
      </c>
      <c r="N285" s="5">
        <f>M286-Table1[[#This Row],[Net_Daily_Intake]]</f>
        <v>154</v>
      </c>
      <c r="O285" s="5">
        <f>M286-Table1[[#This Row],[Net_Daily_Intake]]/Table1[[#This Row],[Net_Daily_Intake]]</f>
        <v>58</v>
      </c>
      <c r="P285" t="str">
        <f>IF(Table1[[#This Row],[Change_in_Net_Daily_Intake]]&gt;0,"Sustained Positive","Negative")</f>
        <v>Sustained Positive</v>
      </c>
      <c r="Q285" s="1">
        <f>(Table1[[#This Row],[Total_System_Load]]-Table1[[#This Row],[Total_Children_Under_Care]])/Table1[[#This Row],[Total_Children_Under_Care]]*100</f>
        <v>6.5341614906832293</v>
      </c>
      <c r="R285" s="1">
        <f>(Table1[[#This Row],[Children_discharged _from_HHS_ Care]]/Table1[[#This Row],[Children_transferred_out_of_CBP_custody]])</f>
        <v>1.5053191489361701</v>
      </c>
    </row>
    <row r="286" spans="1:18" x14ac:dyDescent="0.3">
      <c r="A286">
        <v>285</v>
      </c>
      <c r="B286" s="7">
        <v>45370</v>
      </c>
      <c r="C286" s="5">
        <v>99</v>
      </c>
      <c r="D286" s="5">
        <v>202</v>
      </c>
      <c r="E286" s="5">
        <v>256</v>
      </c>
      <c r="F286" s="5">
        <v>8390</v>
      </c>
      <c r="G286" s="5">
        <v>197</v>
      </c>
      <c r="H286" t="str">
        <f t="shared" si="21"/>
        <v>Invalid</v>
      </c>
      <c r="I286" t="str">
        <f t="shared" si="22"/>
        <v>Valid</v>
      </c>
      <c r="J286" s="5">
        <f t="shared" si="23"/>
        <v>8193</v>
      </c>
      <c r="K286" s="5">
        <f t="shared" si="24"/>
        <v>8592</v>
      </c>
      <c r="L286" s="5">
        <f>IF(Table1[[#This Row],[Total_System_Load]]&gt;80%*AVERAGE(Table1[Total_System_Load]),Table1[[#This Row],[Total_System_Load]]-Table1[[#This Row],[Total_Children_Under_Care]],0)</f>
        <v>399</v>
      </c>
      <c r="M286" s="5">
        <f t="shared" si="20"/>
        <v>59</v>
      </c>
      <c r="N286" s="5">
        <f>M287-Table1[[#This Row],[Net_Daily_Intake]]</f>
        <v>-112</v>
      </c>
      <c r="O286" s="5">
        <f>M287-Table1[[#This Row],[Net_Daily_Intake]]/Table1[[#This Row],[Net_Daily_Intake]]</f>
        <v>-54</v>
      </c>
      <c r="P286" t="str">
        <f>IF(Table1[[#This Row],[Change_in_Net_Daily_Intake]]&gt;0,"Sustained Positive","Negative")</f>
        <v>Negative</v>
      </c>
      <c r="Q286" s="1">
        <f>(Table1[[#This Row],[Total_System_Load]]-Table1[[#This Row],[Total_Children_Under_Care]])/Table1[[#This Row],[Total_Children_Under_Care]]*100</f>
        <v>4.8700109849871849</v>
      </c>
      <c r="R286" s="1">
        <f>(Table1[[#This Row],[Children_discharged _from_HHS_ Care]]/Table1[[#This Row],[Children_transferred_out_of_CBP_custody]])</f>
        <v>0.76953125</v>
      </c>
    </row>
    <row r="287" spans="1:18" x14ac:dyDescent="0.3">
      <c r="A287">
        <v>286</v>
      </c>
      <c r="B287" s="7">
        <v>45371</v>
      </c>
      <c r="C287" s="5">
        <v>91</v>
      </c>
      <c r="D287" s="5">
        <v>181</v>
      </c>
      <c r="E287" s="5">
        <v>174</v>
      </c>
      <c r="F287" s="5">
        <v>8365</v>
      </c>
      <c r="G287" s="5">
        <v>227</v>
      </c>
      <c r="H287" t="str">
        <f t="shared" si="21"/>
        <v>Valid</v>
      </c>
      <c r="I287" t="str">
        <f t="shared" si="22"/>
        <v>Valid</v>
      </c>
      <c r="J287" s="5">
        <f t="shared" si="23"/>
        <v>8138</v>
      </c>
      <c r="K287" s="5">
        <f t="shared" si="24"/>
        <v>8546</v>
      </c>
      <c r="L287" s="5">
        <f>IF(Table1[[#This Row],[Total_System_Load]]&gt;80%*AVERAGE(Table1[Total_System_Load]),Table1[[#This Row],[Total_System_Load]]-Table1[[#This Row],[Total_Children_Under_Care]],0)</f>
        <v>408</v>
      </c>
      <c r="M287" s="5">
        <f t="shared" si="20"/>
        <v>-53</v>
      </c>
      <c r="N287" s="5">
        <f>M288-Table1[[#This Row],[Net_Daily_Intake]]</f>
        <v>-41</v>
      </c>
      <c r="O287" s="5">
        <f>M288-Table1[[#This Row],[Net_Daily_Intake]]/Table1[[#This Row],[Net_Daily_Intake]]</f>
        <v>-95</v>
      </c>
      <c r="P287" t="str">
        <f>IF(Table1[[#This Row],[Change_in_Net_Daily_Intake]]&gt;0,"Sustained Positive","Negative")</f>
        <v>Negative</v>
      </c>
      <c r="Q287" s="1">
        <f>(Table1[[#This Row],[Total_System_Load]]-Table1[[#This Row],[Total_Children_Under_Care]])/Table1[[#This Row],[Total_Children_Under_Care]]*100</f>
        <v>5.0135168346030969</v>
      </c>
      <c r="R287" s="1">
        <f>(Table1[[#This Row],[Children_discharged _from_HHS_ Care]]/Table1[[#This Row],[Children_transferred_out_of_CBP_custody]])</f>
        <v>1.3045977011494252</v>
      </c>
    </row>
    <row r="288" spans="1:18" x14ac:dyDescent="0.3">
      <c r="A288">
        <v>287</v>
      </c>
      <c r="B288" s="7">
        <v>45372</v>
      </c>
      <c r="C288" s="5">
        <v>132</v>
      </c>
      <c r="D288" s="5">
        <v>261</v>
      </c>
      <c r="E288" s="5">
        <v>141</v>
      </c>
      <c r="F288" s="5">
        <v>8292</v>
      </c>
      <c r="G288" s="5">
        <v>235</v>
      </c>
      <c r="H288" t="str">
        <f t="shared" si="21"/>
        <v>Valid</v>
      </c>
      <c r="I288" t="str">
        <f t="shared" si="22"/>
        <v>Valid</v>
      </c>
      <c r="J288" s="5">
        <f t="shared" si="23"/>
        <v>8057</v>
      </c>
      <c r="K288" s="5">
        <f t="shared" si="24"/>
        <v>8553</v>
      </c>
      <c r="L288" s="5">
        <f>IF(Table1[[#This Row],[Total_System_Load]]&gt;80%*AVERAGE(Table1[Total_System_Load]),Table1[[#This Row],[Total_System_Load]]-Table1[[#This Row],[Total_Children_Under_Care]],0)</f>
        <v>496</v>
      </c>
      <c r="M288" s="5">
        <f t="shared" si="20"/>
        <v>-94</v>
      </c>
      <c r="N288" s="5">
        <f>M289-Table1[[#This Row],[Net_Daily_Intake]]</f>
        <v>-58</v>
      </c>
      <c r="O288" s="5">
        <f>M289-Table1[[#This Row],[Net_Daily_Intake]]/Table1[[#This Row],[Net_Daily_Intake]]</f>
        <v>-153</v>
      </c>
      <c r="P288" t="str">
        <f>IF(Table1[[#This Row],[Change_in_Net_Daily_Intake]]&gt;0,"Sustained Positive","Negative")</f>
        <v>Negative</v>
      </c>
      <c r="Q288" s="1">
        <f>(Table1[[#This Row],[Total_System_Load]]-Table1[[#This Row],[Total_Children_Under_Care]])/Table1[[#This Row],[Total_Children_Under_Care]]*100</f>
        <v>6.1561375201687971</v>
      </c>
      <c r="R288" s="1">
        <f>(Table1[[#This Row],[Children_discharged _from_HHS_ Care]]/Table1[[#This Row],[Children_transferred_out_of_CBP_custody]])</f>
        <v>1.6666666666666667</v>
      </c>
    </row>
    <row r="289" spans="1:18" x14ac:dyDescent="0.3">
      <c r="A289">
        <v>288</v>
      </c>
      <c r="B289" s="7">
        <v>45375</v>
      </c>
      <c r="C289" s="5">
        <v>124</v>
      </c>
      <c r="D289" s="5">
        <v>264</v>
      </c>
      <c r="E289" s="5">
        <v>221</v>
      </c>
      <c r="F289" s="5">
        <v>7899</v>
      </c>
      <c r="G289" s="5">
        <v>373</v>
      </c>
      <c r="H289" t="str">
        <f t="shared" si="21"/>
        <v>Valid</v>
      </c>
      <c r="I289" t="str">
        <f t="shared" si="22"/>
        <v>Valid</v>
      </c>
      <c r="J289" s="5">
        <f t="shared" si="23"/>
        <v>7526</v>
      </c>
      <c r="K289" s="5">
        <f t="shared" si="24"/>
        <v>8163</v>
      </c>
      <c r="L289" s="5">
        <f>IF(Table1[[#This Row],[Total_System_Load]]&gt;80%*AVERAGE(Table1[Total_System_Load]),Table1[[#This Row],[Total_System_Load]]-Table1[[#This Row],[Total_Children_Under_Care]],0)</f>
        <v>637</v>
      </c>
      <c r="M289" s="5">
        <f t="shared" si="20"/>
        <v>-152</v>
      </c>
      <c r="N289" s="5">
        <f>M290-Table1[[#This Row],[Net_Daily_Intake]]</f>
        <v>147</v>
      </c>
      <c r="O289" s="5">
        <f>M290-Table1[[#This Row],[Net_Daily_Intake]]/Table1[[#This Row],[Net_Daily_Intake]]</f>
        <v>-6</v>
      </c>
      <c r="P289" t="str">
        <f>IF(Table1[[#This Row],[Change_in_Net_Daily_Intake]]&gt;0,"Sustained Positive","Negative")</f>
        <v>Sustained Positive</v>
      </c>
      <c r="Q289" s="1">
        <f>(Table1[[#This Row],[Total_System_Load]]-Table1[[#This Row],[Total_Children_Under_Care]])/Table1[[#This Row],[Total_Children_Under_Care]]*100</f>
        <v>8.4639914961466918</v>
      </c>
      <c r="R289" s="1">
        <f>(Table1[[#This Row],[Children_discharged _from_HHS_ Care]]/Table1[[#This Row],[Children_transferred_out_of_CBP_custody]])</f>
        <v>1.6877828054298643</v>
      </c>
    </row>
    <row r="290" spans="1:18" x14ac:dyDescent="0.3">
      <c r="A290">
        <v>289</v>
      </c>
      <c r="B290" s="7">
        <v>45376</v>
      </c>
      <c r="C290" s="5">
        <v>128</v>
      </c>
      <c r="D290" s="5">
        <v>242</v>
      </c>
      <c r="E290" s="5">
        <v>224</v>
      </c>
      <c r="F290" s="5">
        <v>7899</v>
      </c>
      <c r="G290" s="5">
        <v>229</v>
      </c>
      <c r="H290" t="str">
        <f t="shared" si="21"/>
        <v>Valid</v>
      </c>
      <c r="I290" t="str">
        <f t="shared" si="22"/>
        <v>Valid</v>
      </c>
      <c r="J290" s="5">
        <f t="shared" si="23"/>
        <v>7670</v>
      </c>
      <c r="K290" s="5">
        <f t="shared" si="24"/>
        <v>8141</v>
      </c>
      <c r="L290" s="5">
        <f>IF(Table1[[#This Row],[Total_System_Load]]&gt;80%*AVERAGE(Table1[Total_System_Load]),Table1[[#This Row],[Total_System_Load]]-Table1[[#This Row],[Total_Children_Under_Care]],0)</f>
        <v>471</v>
      </c>
      <c r="M290" s="5">
        <f t="shared" si="20"/>
        <v>-5</v>
      </c>
      <c r="N290" s="5">
        <f>M291-Table1[[#This Row],[Net_Daily_Intake]]</f>
        <v>-3</v>
      </c>
      <c r="O290" s="5">
        <f>M291-Table1[[#This Row],[Net_Daily_Intake]]/Table1[[#This Row],[Net_Daily_Intake]]</f>
        <v>-9</v>
      </c>
      <c r="P290" t="str">
        <f>IF(Table1[[#This Row],[Change_in_Net_Daily_Intake]]&gt;0,"Sustained Positive","Negative")</f>
        <v>Negative</v>
      </c>
      <c r="Q290" s="1">
        <f>(Table1[[#This Row],[Total_System_Load]]-Table1[[#This Row],[Total_Children_Under_Care]])/Table1[[#This Row],[Total_Children_Under_Care]]*100</f>
        <v>6.1408083441981747</v>
      </c>
      <c r="R290" s="1">
        <f>(Table1[[#This Row],[Children_discharged _from_HHS_ Care]]/Table1[[#This Row],[Children_transferred_out_of_CBP_custody]])</f>
        <v>1.0223214285714286</v>
      </c>
    </row>
    <row r="291" spans="1:18" x14ac:dyDescent="0.3">
      <c r="A291">
        <v>290</v>
      </c>
      <c r="B291" s="7">
        <v>45377</v>
      </c>
      <c r="C291" s="5">
        <v>187</v>
      </c>
      <c r="D291" s="5">
        <v>276</v>
      </c>
      <c r="E291" s="5">
        <v>200</v>
      </c>
      <c r="F291" s="5">
        <v>7919</v>
      </c>
      <c r="G291" s="5">
        <v>208</v>
      </c>
      <c r="H291" t="str">
        <f t="shared" si="21"/>
        <v>Valid</v>
      </c>
      <c r="I291" t="str">
        <f t="shared" si="22"/>
        <v>Valid</v>
      </c>
      <c r="J291" s="5">
        <f t="shared" si="23"/>
        <v>7711</v>
      </c>
      <c r="K291" s="5">
        <f t="shared" si="24"/>
        <v>8195</v>
      </c>
      <c r="L291" s="5">
        <f>IF(Table1[[#This Row],[Total_System_Load]]&gt;80%*AVERAGE(Table1[Total_System_Load]),Table1[[#This Row],[Total_System_Load]]-Table1[[#This Row],[Total_Children_Under_Care]],0)</f>
        <v>484</v>
      </c>
      <c r="M291" s="5">
        <f t="shared" si="20"/>
        <v>-8</v>
      </c>
      <c r="N291" s="5">
        <f>M292-Table1[[#This Row],[Net_Daily_Intake]]</f>
        <v>-22</v>
      </c>
      <c r="O291" s="5">
        <f>M292-Table1[[#This Row],[Net_Daily_Intake]]/Table1[[#This Row],[Net_Daily_Intake]]</f>
        <v>-31</v>
      </c>
      <c r="P291" t="str">
        <f>IF(Table1[[#This Row],[Change_in_Net_Daily_Intake]]&gt;0,"Sustained Positive","Negative")</f>
        <v>Negative</v>
      </c>
      <c r="Q291" s="1">
        <f>(Table1[[#This Row],[Total_System_Load]]-Table1[[#This Row],[Total_Children_Under_Care]])/Table1[[#This Row],[Total_Children_Under_Care]]*100</f>
        <v>6.2767475035663338</v>
      </c>
      <c r="R291" s="1">
        <f>(Table1[[#This Row],[Children_discharged _from_HHS_ Care]]/Table1[[#This Row],[Children_transferred_out_of_CBP_custody]])</f>
        <v>1.04</v>
      </c>
    </row>
    <row r="292" spans="1:18" x14ac:dyDescent="0.3">
      <c r="A292">
        <v>291</v>
      </c>
      <c r="B292" s="7">
        <v>45378</v>
      </c>
      <c r="C292" s="5">
        <v>129</v>
      </c>
      <c r="D292" s="5">
        <v>287</v>
      </c>
      <c r="E292" s="5">
        <v>185</v>
      </c>
      <c r="F292" s="5">
        <v>7893</v>
      </c>
      <c r="G292" s="5">
        <v>215</v>
      </c>
      <c r="H292" t="str">
        <f t="shared" si="21"/>
        <v>Valid</v>
      </c>
      <c r="I292" t="str">
        <f t="shared" si="22"/>
        <v>Valid</v>
      </c>
      <c r="J292" s="5">
        <f t="shared" si="23"/>
        <v>7678</v>
      </c>
      <c r="K292" s="5">
        <f t="shared" si="24"/>
        <v>8180</v>
      </c>
      <c r="L292" s="5">
        <f>IF(Table1[[#This Row],[Total_System_Load]]&gt;80%*AVERAGE(Table1[Total_System_Load]),Table1[[#This Row],[Total_System_Load]]-Table1[[#This Row],[Total_Children_Under_Care]],0)</f>
        <v>502</v>
      </c>
      <c r="M292" s="5">
        <f t="shared" si="20"/>
        <v>-30</v>
      </c>
      <c r="N292" s="5">
        <f>M293-Table1[[#This Row],[Net_Daily_Intake]]</f>
        <v>-82</v>
      </c>
      <c r="O292" s="5">
        <f>M293-Table1[[#This Row],[Net_Daily_Intake]]/Table1[[#This Row],[Net_Daily_Intake]]</f>
        <v>-113</v>
      </c>
      <c r="P292" t="str">
        <f>IF(Table1[[#This Row],[Change_in_Net_Daily_Intake]]&gt;0,"Sustained Positive","Negative")</f>
        <v>Negative</v>
      </c>
      <c r="Q292" s="1">
        <f>(Table1[[#This Row],[Total_System_Load]]-Table1[[#This Row],[Total_Children_Under_Care]])/Table1[[#This Row],[Total_Children_Under_Care]]*100</f>
        <v>6.5381609794217237</v>
      </c>
      <c r="R292" s="1">
        <f>(Table1[[#This Row],[Children_discharged _from_HHS_ Care]]/Table1[[#This Row],[Children_transferred_out_of_CBP_custody]])</f>
        <v>1.1621621621621621</v>
      </c>
    </row>
    <row r="293" spans="1:18" x14ac:dyDescent="0.3">
      <c r="A293">
        <v>292</v>
      </c>
      <c r="B293" s="7">
        <v>45379</v>
      </c>
      <c r="C293" s="5">
        <v>161</v>
      </c>
      <c r="D293" s="5">
        <v>288</v>
      </c>
      <c r="E293" s="5">
        <v>248</v>
      </c>
      <c r="F293" s="5">
        <v>7762</v>
      </c>
      <c r="G293" s="5">
        <v>360</v>
      </c>
      <c r="H293" t="str">
        <f t="shared" si="21"/>
        <v>Valid</v>
      </c>
      <c r="I293" t="str">
        <f t="shared" si="22"/>
        <v>Valid</v>
      </c>
      <c r="J293" s="5">
        <f t="shared" si="23"/>
        <v>7402</v>
      </c>
      <c r="K293" s="5">
        <f t="shared" si="24"/>
        <v>8050</v>
      </c>
      <c r="L293" s="5">
        <f>IF(Table1[[#This Row],[Total_System_Load]]&gt;80%*AVERAGE(Table1[Total_System_Load]),Table1[[#This Row],[Total_System_Load]]-Table1[[#This Row],[Total_Children_Under_Care]],0)</f>
        <v>648</v>
      </c>
      <c r="M293" s="5">
        <f t="shared" si="20"/>
        <v>-112</v>
      </c>
      <c r="N293" s="5">
        <f>M294-Table1[[#This Row],[Net_Daily_Intake]]</f>
        <v>-24</v>
      </c>
      <c r="O293" s="5">
        <f>M294-Table1[[#This Row],[Net_Daily_Intake]]/Table1[[#This Row],[Net_Daily_Intake]]</f>
        <v>-137</v>
      </c>
      <c r="P293" t="str">
        <f>IF(Table1[[#This Row],[Change_in_Net_Daily_Intake]]&gt;0,"Sustained Positive","Negative")</f>
        <v>Negative</v>
      </c>
      <c r="Q293" s="1">
        <f>(Table1[[#This Row],[Total_System_Load]]-Table1[[#This Row],[Total_Children_Under_Care]])/Table1[[#This Row],[Total_Children_Under_Care]]*100</f>
        <v>8.7543907052148064</v>
      </c>
      <c r="R293" s="1">
        <f>(Table1[[#This Row],[Children_discharged _from_HHS_ Care]]/Table1[[#This Row],[Children_transferred_out_of_CBP_custody]])</f>
        <v>1.4516129032258065</v>
      </c>
    </row>
    <row r="294" spans="1:18" x14ac:dyDescent="0.3">
      <c r="A294">
        <v>293</v>
      </c>
      <c r="B294" s="7">
        <v>45382</v>
      </c>
      <c r="C294" s="5">
        <v>105</v>
      </c>
      <c r="D294" s="5">
        <v>254</v>
      </c>
      <c r="E294" s="5">
        <v>151</v>
      </c>
      <c r="F294" s="5">
        <v>7257</v>
      </c>
      <c r="G294" s="5">
        <v>287</v>
      </c>
      <c r="H294" t="str">
        <f t="shared" si="21"/>
        <v>Valid</v>
      </c>
      <c r="I294" t="str">
        <f t="shared" si="22"/>
        <v>Valid</v>
      </c>
      <c r="J294" s="5">
        <f t="shared" si="23"/>
        <v>6970</v>
      </c>
      <c r="K294" s="5">
        <f t="shared" si="24"/>
        <v>7511</v>
      </c>
      <c r="L294" s="5">
        <f>IF(Table1[[#This Row],[Total_System_Load]]&gt;80%*AVERAGE(Table1[Total_System_Load]),Table1[[#This Row],[Total_System_Load]]-Table1[[#This Row],[Total_Children_Under_Care]],0)</f>
        <v>541</v>
      </c>
      <c r="M294" s="5">
        <f t="shared" si="20"/>
        <v>-136</v>
      </c>
      <c r="N294" s="5">
        <f>M295-Table1[[#This Row],[Net_Daily_Intake]]</f>
        <v>135</v>
      </c>
      <c r="O294" s="5">
        <f>M295-Table1[[#This Row],[Net_Daily_Intake]]/Table1[[#This Row],[Net_Daily_Intake]]</f>
        <v>-2</v>
      </c>
      <c r="P294" t="str">
        <f>IF(Table1[[#This Row],[Change_in_Net_Daily_Intake]]&gt;0,"Sustained Positive","Negative")</f>
        <v>Sustained Positive</v>
      </c>
      <c r="Q294" s="1">
        <f>(Table1[[#This Row],[Total_System_Load]]-Table1[[#This Row],[Total_Children_Under_Care]])/Table1[[#This Row],[Total_Children_Under_Care]]*100</f>
        <v>7.7618364418938306</v>
      </c>
      <c r="R294" s="1">
        <f>(Table1[[#This Row],[Children_discharged _from_HHS_ Care]]/Table1[[#This Row],[Children_transferred_out_of_CBP_custody]])</f>
        <v>1.9006622516556291</v>
      </c>
    </row>
    <row r="295" spans="1:18" x14ac:dyDescent="0.3">
      <c r="A295">
        <v>294</v>
      </c>
      <c r="B295" s="7">
        <v>45383</v>
      </c>
      <c r="C295" s="5">
        <v>109</v>
      </c>
      <c r="D295" s="5">
        <v>235</v>
      </c>
      <c r="E295" s="5">
        <v>171</v>
      </c>
      <c r="F295" s="5">
        <v>7271</v>
      </c>
      <c r="G295" s="5">
        <v>172</v>
      </c>
      <c r="H295" t="str">
        <f t="shared" si="21"/>
        <v>Valid</v>
      </c>
      <c r="I295" t="str">
        <f t="shared" si="22"/>
        <v>Valid</v>
      </c>
      <c r="J295" s="5">
        <f t="shared" si="23"/>
        <v>7099</v>
      </c>
      <c r="K295" s="5">
        <f t="shared" si="24"/>
        <v>7506</v>
      </c>
      <c r="L295" s="5">
        <f>IF(Table1[[#This Row],[Total_System_Load]]&gt;80%*AVERAGE(Table1[Total_System_Load]),Table1[[#This Row],[Total_System_Load]]-Table1[[#This Row],[Total_Children_Under_Care]],0)</f>
        <v>407</v>
      </c>
      <c r="M295" s="5">
        <f t="shared" si="20"/>
        <v>-1</v>
      </c>
      <c r="N295" s="5">
        <f>M296-Table1[[#This Row],[Net_Daily_Intake]]</f>
        <v>44</v>
      </c>
      <c r="O295" s="5">
        <f>M296-Table1[[#This Row],[Net_Daily_Intake]]/Table1[[#This Row],[Net_Daily_Intake]]</f>
        <v>42</v>
      </c>
      <c r="P295" t="str">
        <f>IF(Table1[[#This Row],[Change_in_Net_Daily_Intake]]&gt;0,"Sustained Positive","Negative")</f>
        <v>Sustained Positive</v>
      </c>
      <c r="Q295" s="1">
        <f>(Table1[[#This Row],[Total_System_Load]]-Table1[[#This Row],[Total_Children_Under_Care]])/Table1[[#This Row],[Total_Children_Under_Care]]*100</f>
        <v>5.7332018594168188</v>
      </c>
      <c r="R295" s="1">
        <f>(Table1[[#This Row],[Children_discharged _from_HHS_ Care]]/Table1[[#This Row],[Children_transferred_out_of_CBP_custody]])</f>
        <v>1.0058479532163742</v>
      </c>
    </row>
    <row r="296" spans="1:18" x14ac:dyDescent="0.3">
      <c r="A296">
        <v>295</v>
      </c>
      <c r="B296" s="7">
        <v>45384</v>
      </c>
      <c r="C296" s="5">
        <v>101</v>
      </c>
      <c r="D296" s="5">
        <v>230</v>
      </c>
      <c r="E296" s="5">
        <v>175</v>
      </c>
      <c r="F296" s="5">
        <v>7340</v>
      </c>
      <c r="G296" s="5">
        <v>132</v>
      </c>
      <c r="H296" t="str">
        <f t="shared" si="21"/>
        <v>Valid</v>
      </c>
      <c r="I296" t="str">
        <f t="shared" si="22"/>
        <v>Valid</v>
      </c>
      <c r="J296" s="5">
        <f t="shared" si="23"/>
        <v>7208</v>
      </c>
      <c r="K296" s="5">
        <f t="shared" si="24"/>
        <v>7570</v>
      </c>
      <c r="L296" s="5">
        <f>IF(Table1[[#This Row],[Total_System_Load]]&gt;80%*AVERAGE(Table1[Total_System_Load]),Table1[[#This Row],[Total_System_Load]]-Table1[[#This Row],[Total_Children_Under_Care]],0)</f>
        <v>362</v>
      </c>
      <c r="M296" s="5">
        <f t="shared" si="20"/>
        <v>43</v>
      </c>
      <c r="N296" s="5">
        <f>M297-Table1[[#This Row],[Net_Daily_Intake]]</f>
        <v>-16</v>
      </c>
      <c r="O296" s="5">
        <f>M297-Table1[[#This Row],[Net_Daily_Intake]]/Table1[[#This Row],[Net_Daily_Intake]]</f>
        <v>26</v>
      </c>
      <c r="P296" t="str">
        <f>IF(Table1[[#This Row],[Change_in_Net_Daily_Intake]]&gt;0,"Sustained Positive","Negative")</f>
        <v>Negative</v>
      </c>
      <c r="Q296" s="1">
        <f>(Table1[[#This Row],[Total_System_Load]]-Table1[[#This Row],[Total_Children_Under_Care]])/Table1[[#This Row],[Total_Children_Under_Care]]*100</f>
        <v>5.0221975582685898</v>
      </c>
      <c r="R296" s="1">
        <f>(Table1[[#This Row],[Children_discharged _from_HHS_ Care]]/Table1[[#This Row],[Children_transferred_out_of_CBP_custody]])</f>
        <v>0.75428571428571434</v>
      </c>
    </row>
    <row r="297" spans="1:18" x14ac:dyDescent="0.3">
      <c r="A297">
        <v>296</v>
      </c>
      <c r="B297" s="7">
        <v>45385</v>
      </c>
      <c r="C297" s="5">
        <v>124</v>
      </c>
      <c r="D297" s="5">
        <v>230</v>
      </c>
      <c r="E297" s="5">
        <v>190</v>
      </c>
      <c r="F297" s="5">
        <v>7346</v>
      </c>
      <c r="G297" s="5">
        <v>163</v>
      </c>
      <c r="H297" t="str">
        <f t="shared" si="21"/>
        <v>Valid</v>
      </c>
      <c r="I297" t="str">
        <f t="shared" si="22"/>
        <v>Valid</v>
      </c>
      <c r="J297" s="5">
        <f t="shared" si="23"/>
        <v>7183</v>
      </c>
      <c r="K297" s="5">
        <f t="shared" si="24"/>
        <v>7576</v>
      </c>
      <c r="L297" s="5">
        <f>IF(Table1[[#This Row],[Total_System_Load]]&gt;80%*AVERAGE(Table1[Total_System_Load]),Table1[[#This Row],[Total_System_Load]]-Table1[[#This Row],[Total_Children_Under_Care]],0)</f>
        <v>393</v>
      </c>
      <c r="M297" s="5">
        <f t="shared" si="20"/>
        <v>27</v>
      </c>
      <c r="N297" s="5">
        <f>M298-Table1[[#This Row],[Net_Daily_Intake]]</f>
        <v>-100</v>
      </c>
      <c r="O297" s="5">
        <f>M298-Table1[[#This Row],[Net_Daily_Intake]]/Table1[[#This Row],[Net_Daily_Intake]]</f>
        <v>-74</v>
      </c>
      <c r="P297" t="str">
        <f>IF(Table1[[#This Row],[Change_in_Net_Daily_Intake]]&gt;0,"Sustained Positive","Negative")</f>
        <v>Negative</v>
      </c>
      <c r="Q297" s="1">
        <f>(Table1[[#This Row],[Total_System_Load]]-Table1[[#This Row],[Total_Children_Under_Care]])/Table1[[#This Row],[Total_Children_Under_Care]]*100</f>
        <v>5.4712515661979673</v>
      </c>
      <c r="R297" s="1">
        <f>(Table1[[#This Row],[Children_discharged _from_HHS_ Care]]/Table1[[#This Row],[Children_transferred_out_of_CBP_custody]])</f>
        <v>0.85789473684210527</v>
      </c>
    </row>
    <row r="298" spans="1:18" x14ac:dyDescent="0.3">
      <c r="A298">
        <v>297</v>
      </c>
      <c r="B298" s="7">
        <v>45386</v>
      </c>
      <c r="C298" s="5">
        <v>95</v>
      </c>
      <c r="D298" s="5">
        <v>226</v>
      </c>
      <c r="E298" s="5">
        <v>152</v>
      </c>
      <c r="F298" s="5">
        <v>7317</v>
      </c>
      <c r="G298" s="5">
        <v>225</v>
      </c>
      <c r="H298" t="str">
        <f t="shared" si="21"/>
        <v>Valid</v>
      </c>
      <c r="I298" t="str">
        <f t="shared" si="22"/>
        <v>Valid</v>
      </c>
      <c r="J298" s="5">
        <f t="shared" si="23"/>
        <v>7092</v>
      </c>
      <c r="K298" s="5">
        <f t="shared" si="24"/>
        <v>7543</v>
      </c>
      <c r="L298" s="5">
        <f>IF(Table1[[#This Row],[Total_System_Load]]&gt;80%*AVERAGE(Table1[Total_System_Load]),Table1[[#This Row],[Total_System_Load]]-Table1[[#This Row],[Total_Children_Under_Care]],0)</f>
        <v>451</v>
      </c>
      <c r="M298" s="5">
        <f t="shared" si="20"/>
        <v>-73</v>
      </c>
      <c r="N298" s="5">
        <f>M299-Table1[[#This Row],[Net_Daily_Intake]]</f>
        <v>27</v>
      </c>
      <c r="O298" s="5">
        <f>M299-Table1[[#This Row],[Net_Daily_Intake]]/Table1[[#This Row],[Net_Daily_Intake]]</f>
        <v>-47</v>
      </c>
      <c r="P298" t="str">
        <f>IF(Table1[[#This Row],[Change_in_Net_Daily_Intake]]&gt;0,"Sustained Positive","Negative")</f>
        <v>Sustained Positive</v>
      </c>
      <c r="Q298" s="1">
        <f>(Table1[[#This Row],[Total_System_Load]]-Table1[[#This Row],[Total_Children_Under_Care]])/Table1[[#This Row],[Total_Children_Under_Care]]*100</f>
        <v>6.359278059785674</v>
      </c>
      <c r="R298" s="1">
        <f>(Table1[[#This Row],[Children_discharged _from_HHS_ Care]]/Table1[[#This Row],[Children_transferred_out_of_CBP_custody]])</f>
        <v>1.4802631578947369</v>
      </c>
    </row>
    <row r="299" spans="1:18" x14ac:dyDescent="0.3">
      <c r="A299">
        <v>298</v>
      </c>
      <c r="B299" s="7">
        <v>45389</v>
      </c>
      <c r="C299" s="5">
        <v>106</v>
      </c>
      <c r="D299" s="5">
        <v>239</v>
      </c>
      <c r="E299" s="5">
        <v>233</v>
      </c>
      <c r="F299" s="5">
        <v>6982</v>
      </c>
      <c r="G299" s="5">
        <v>279</v>
      </c>
      <c r="H299" t="str">
        <f t="shared" si="21"/>
        <v>Valid</v>
      </c>
      <c r="I299" t="str">
        <f t="shared" si="22"/>
        <v>Valid</v>
      </c>
      <c r="J299" s="5">
        <f t="shared" si="23"/>
        <v>6703</v>
      </c>
      <c r="K299" s="5">
        <f t="shared" si="24"/>
        <v>7221</v>
      </c>
      <c r="L299" s="5">
        <f>IF(Table1[[#This Row],[Total_System_Load]]&gt;80%*AVERAGE(Table1[Total_System_Load]),Table1[[#This Row],[Total_System_Load]]-Table1[[#This Row],[Total_Children_Under_Care]],0)</f>
        <v>518</v>
      </c>
      <c r="M299" s="5">
        <f t="shared" si="20"/>
        <v>-46</v>
      </c>
      <c r="N299" s="5">
        <f>M300-Table1[[#This Row],[Net_Daily_Intake]]</f>
        <v>14</v>
      </c>
      <c r="O299" s="5">
        <f>M300-Table1[[#This Row],[Net_Daily_Intake]]/Table1[[#This Row],[Net_Daily_Intake]]</f>
        <v>-33</v>
      </c>
      <c r="P299" t="str">
        <f>IF(Table1[[#This Row],[Change_in_Net_Daily_Intake]]&gt;0,"Sustained Positive","Negative")</f>
        <v>Sustained Positive</v>
      </c>
      <c r="Q299" s="1">
        <f>(Table1[[#This Row],[Total_System_Load]]-Table1[[#This Row],[Total_Children_Under_Care]])/Table1[[#This Row],[Total_Children_Under_Care]]*100</f>
        <v>7.7278830374459195</v>
      </c>
      <c r="R299" s="1">
        <f>(Table1[[#This Row],[Children_discharged _from_HHS_ Care]]/Table1[[#This Row],[Children_transferred_out_of_CBP_custody]])</f>
        <v>1.1974248927038627</v>
      </c>
    </row>
    <row r="300" spans="1:18" x14ac:dyDescent="0.3">
      <c r="A300">
        <v>299</v>
      </c>
      <c r="B300" s="7">
        <v>45390</v>
      </c>
      <c r="C300" s="5">
        <v>102</v>
      </c>
      <c r="D300" s="5">
        <v>230</v>
      </c>
      <c r="E300" s="5">
        <v>167</v>
      </c>
      <c r="F300" s="5">
        <v>6988</v>
      </c>
      <c r="G300" s="5">
        <v>199</v>
      </c>
      <c r="H300" t="str">
        <f t="shared" si="21"/>
        <v>Valid</v>
      </c>
      <c r="I300" t="str">
        <f t="shared" si="22"/>
        <v>Valid</v>
      </c>
      <c r="J300" s="5">
        <f t="shared" si="23"/>
        <v>6789</v>
      </c>
      <c r="K300" s="5">
        <f t="shared" si="24"/>
        <v>7218</v>
      </c>
      <c r="L300" s="5">
        <f>IF(Table1[[#This Row],[Total_System_Load]]&gt;80%*AVERAGE(Table1[Total_System_Load]),Table1[[#This Row],[Total_System_Load]]-Table1[[#This Row],[Total_Children_Under_Care]],0)</f>
        <v>429</v>
      </c>
      <c r="M300" s="5">
        <f t="shared" si="20"/>
        <v>-32</v>
      </c>
      <c r="N300" s="5">
        <f>M301-Table1[[#This Row],[Net_Daily_Intake]]</f>
        <v>119</v>
      </c>
      <c r="O300" s="5">
        <f>M301-Table1[[#This Row],[Net_Daily_Intake]]/Table1[[#This Row],[Net_Daily_Intake]]</f>
        <v>86</v>
      </c>
      <c r="P300" t="str">
        <f>IF(Table1[[#This Row],[Change_in_Net_Daily_Intake]]&gt;0,"Sustained Positive","Negative")</f>
        <v>Sustained Positive</v>
      </c>
      <c r="Q300" s="1">
        <f>(Table1[[#This Row],[Total_System_Load]]-Table1[[#This Row],[Total_Children_Under_Care]])/Table1[[#This Row],[Total_Children_Under_Care]]*100</f>
        <v>6.3190455148033582</v>
      </c>
      <c r="R300" s="1">
        <f>(Table1[[#This Row],[Children_discharged _from_HHS_ Care]]/Table1[[#This Row],[Children_transferred_out_of_CBP_custody]])</f>
        <v>1.1916167664670658</v>
      </c>
    </row>
    <row r="301" spans="1:18" x14ac:dyDescent="0.3">
      <c r="A301">
        <v>300</v>
      </c>
      <c r="B301" s="7">
        <v>45391</v>
      </c>
      <c r="C301" s="5">
        <v>118</v>
      </c>
      <c r="D301" s="5">
        <v>231</v>
      </c>
      <c r="E301" s="5">
        <v>217</v>
      </c>
      <c r="F301" s="5">
        <v>7043</v>
      </c>
      <c r="G301" s="5">
        <v>130</v>
      </c>
      <c r="H301" t="str">
        <f t="shared" si="21"/>
        <v>Valid</v>
      </c>
      <c r="I301" t="str">
        <f t="shared" si="22"/>
        <v>Valid</v>
      </c>
      <c r="J301" s="5">
        <f t="shared" si="23"/>
        <v>6913</v>
      </c>
      <c r="K301" s="5">
        <f t="shared" si="24"/>
        <v>7274</v>
      </c>
      <c r="L301" s="5">
        <f>IF(Table1[[#This Row],[Total_System_Load]]&gt;80%*AVERAGE(Table1[Total_System_Load]),Table1[[#This Row],[Total_System_Load]]-Table1[[#This Row],[Total_Children_Under_Care]],0)</f>
        <v>361</v>
      </c>
      <c r="M301" s="5">
        <f t="shared" si="20"/>
        <v>87</v>
      </c>
      <c r="N301" s="5">
        <f>M302-Table1[[#This Row],[Net_Daily_Intake]]</f>
        <v>-172</v>
      </c>
      <c r="O301" s="5">
        <f>M302-Table1[[#This Row],[Net_Daily_Intake]]/Table1[[#This Row],[Net_Daily_Intake]]</f>
        <v>-86</v>
      </c>
      <c r="P301" t="str">
        <f>IF(Table1[[#This Row],[Change_in_Net_Daily_Intake]]&gt;0,"Sustained Positive","Negative")</f>
        <v>Negative</v>
      </c>
      <c r="Q301" s="1">
        <f>(Table1[[#This Row],[Total_System_Load]]-Table1[[#This Row],[Total_Children_Under_Care]])/Table1[[#This Row],[Total_Children_Under_Care]]*100</f>
        <v>5.2220454216693186</v>
      </c>
      <c r="R301" s="1">
        <f>(Table1[[#This Row],[Children_discharged _from_HHS_ Care]]/Table1[[#This Row],[Children_transferred_out_of_CBP_custody]])</f>
        <v>0.59907834101382484</v>
      </c>
    </row>
    <row r="302" spans="1:18" x14ac:dyDescent="0.3">
      <c r="A302">
        <v>301</v>
      </c>
      <c r="B302" s="7">
        <v>45392</v>
      </c>
      <c r="C302" s="5">
        <v>117</v>
      </c>
      <c r="D302" s="5">
        <v>244</v>
      </c>
      <c r="E302" s="5">
        <v>142</v>
      </c>
      <c r="F302" s="5">
        <v>6999</v>
      </c>
      <c r="G302" s="5">
        <v>227</v>
      </c>
      <c r="H302" t="str">
        <f t="shared" si="21"/>
        <v>Valid</v>
      </c>
      <c r="I302" t="str">
        <f t="shared" si="22"/>
        <v>Valid</v>
      </c>
      <c r="J302" s="5">
        <f t="shared" si="23"/>
        <v>6772</v>
      </c>
      <c r="K302" s="5">
        <f t="shared" si="24"/>
        <v>7243</v>
      </c>
      <c r="L302" s="5">
        <f>IF(Table1[[#This Row],[Total_System_Load]]&gt;80%*AVERAGE(Table1[Total_System_Load]),Table1[[#This Row],[Total_System_Load]]-Table1[[#This Row],[Total_Children_Under_Care]],0)</f>
        <v>471</v>
      </c>
      <c r="M302" s="5">
        <f t="shared" si="20"/>
        <v>-85</v>
      </c>
      <c r="N302" s="5">
        <f>M303-Table1[[#This Row],[Net_Daily_Intake]]</f>
        <v>20</v>
      </c>
      <c r="O302" s="5">
        <f>M303-Table1[[#This Row],[Net_Daily_Intake]]/Table1[[#This Row],[Net_Daily_Intake]]</f>
        <v>-66</v>
      </c>
      <c r="P302" t="str">
        <f>IF(Table1[[#This Row],[Change_in_Net_Daily_Intake]]&gt;0,"Sustained Positive","Negative")</f>
        <v>Sustained Positive</v>
      </c>
      <c r="Q302" s="1">
        <f>(Table1[[#This Row],[Total_System_Load]]-Table1[[#This Row],[Total_Children_Under_Care]])/Table1[[#This Row],[Total_Children_Under_Care]]*100</f>
        <v>6.9551092734790307</v>
      </c>
      <c r="R302" s="1">
        <f>(Table1[[#This Row],[Children_discharged _from_HHS_ Care]]/Table1[[#This Row],[Children_transferred_out_of_CBP_custody]])</f>
        <v>1.5985915492957747</v>
      </c>
    </row>
    <row r="303" spans="1:18" x14ac:dyDescent="0.3">
      <c r="A303">
        <v>302</v>
      </c>
      <c r="B303" s="7">
        <v>45393</v>
      </c>
      <c r="C303" s="5">
        <v>183</v>
      </c>
      <c r="D303" s="5">
        <v>221</v>
      </c>
      <c r="E303" s="5">
        <v>220</v>
      </c>
      <c r="F303" s="5">
        <v>6912</v>
      </c>
      <c r="G303" s="5">
        <v>285</v>
      </c>
      <c r="H303" t="str">
        <f t="shared" si="21"/>
        <v>Valid</v>
      </c>
      <c r="I303" t="str">
        <f t="shared" si="22"/>
        <v>Valid</v>
      </c>
      <c r="J303" s="5">
        <f t="shared" si="23"/>
        <v>6627</v>
      </c>
      <c r="K303" s="5">
        <f t="shared" si="24"/>
        <v>7133</v>
      </c>
      <c r="L303" s="5">
        <f>IF(Table1[[#This Row],[Total_System_Load]]&gt;80%*AVERAGE(Table1[Total_System_Load]),Table1[[#This Row],[Total_System_Load]]-Table1[[#This Row],[Total_Children_Under_Care]],0)</f>
        <v>506</v>
      </c>
      <c r="M303" s="5">
        <f t="shared" si="20"/>
        <v>-65</v>
      </c>
      <c r="N303" s="5">
        <f>M304-Table1[[#This Row],[Net_Daily_Intake]]</f>
        <v>18</v>
      </c>
      <c r="O303" s="5">
        <f>M304-Table1[[#This Row],[Net_Daily_Intake]]/Table1[[#This Row],[Net_Daily_Intake]]</f>
        <v>-48</v>
      </c>
      <c r="P303" t="str">
        <f>IF(Table1[[#This Row],[Change_in_Net_Daily_Intake]]&gt;0,"Sustained Positive","Negative")</f>
        <v>Sustained Positive</v>
      </c>
      <c r="Q303" s="1">
        <f>(Table1[[#This Row],[Total_System_Load]]-Table1[[#This Row],[Total_Children_Under_Care]])/Table1[[#This Row],[Total_Children_Under_Care]]*100</f>
        <v>7.6354308133393696</v>
      </c>
      <c r="R303" s="1">
        <f>(Table1[[#This Row],[Children_discharged _from_HHS_ Care]]/Table1[[#This Row],[Children_transferred_out_of_CBP_custody]])</f>
        <v>1.2954545454545454</v>
      </c>
    </row>
    <row r="304" spans="1:18" x14ac:dyDescent="0.3">
      <c r="A304">
        <v>303</v>
      </c>
      <c r="B304" s="7">
        <v>45396</v>
      </c>
      <c r="C304" s="5">
        <v>128</v>
      </c>
      <c r="D304" s="5">
        <v>245</v>
      </c>
      <c r="E304" s="5">
        <v>243</v>
      </c>
      <c r="F304" s="5">
        <v>6630</v>
      </c>
      <c r="G304" s="5">
        <v>290</v>
      </c>
      <c r="H304" t="str">
        <f t="shared" si="21"/>
        <v>Valid</v>
      </c>
      <c r="I304" t="str">
        <f t="shared" si="22"/>
        <v>Valid</v>
      </c>
      <c r="J304" s="5">
        <f t="shared" si="23"/>
        <v>6340</v>
      </c>
      <c r="K304" s="5">
        <f t="shared" si="24"/>
        <v>6875</v>
      </c>
      <c r="L304" s="5">
        <f>IF(Table1[[#This Row],[Total_System_Load]]&gt;80%*AVERAGE(Table1[Total_System_Load]),Table1[[#This Row],[Total_System_Load]]-Table1[[#This Row],[Total_Children_Under_Care]],0)</f>
        <v>535</v>
      </c>
      <c r="M304" s="5">
        <f t="shared" si="20"/>
        <v>-47</v>
      </c>
      <c r="N304" s="5">
        <f>M305-Table1[[#This Row],[Net_Daily_Intake]]</f>
        <v>32</v>
      </c>
      <c r="O304" s="5">
        <f>M305-Table1[[#This Row],[Net_Daily_Intake]]/Table1[[#This Row],[Net_Daily_Intake]]</f>
        <v>-16</v>
      </c>
      <c r="P304" t="str">
        <f>IF(Table1[[#This Row],[Change_in_Net_Daily_Intake]]&gt;0,"Sustained Positive","Negative")</f>
        <v>Sustained Positive</v>
      </c>
      <c r="Q304" s="1">
        <f>(Table1[[#This Row],[Total_System_Load]]-Table1[[#This Row],[Total_Children_Under_Care]])/Table1[[#This Row],[Total_Children_Under_Care]]*100</f>
        <v>8.4384858044164037</v>
      </c>
      <c r="R304" s="1">
        <f>(Table1[[#This Row],[Children_discharged _from_HHS_ Care]]/Table1[[#This Row],[Children_transferred_out_of_CBP_custody]])</f>
        <v>1.1934156378600822</v>
      </c>
    </row>
    <row r="305" spans="1:18" x14ac:dyDescent="0.3">
      <c r="A305">
        <v>304</v>
      </c>
      <c r="B305" s="7">
        <v>45397</v>
      </c>
      <c r="C305" s="5">
        <v>144</v>
      </c>
      <c r="D305" s="5">
        <v>303</v>
      </c>
      <c r="E305" s="5">
        <v>176</v>
      </c>
      <c r="F305" s="5">
        <v>6681</v>
      </c>
      <c r="G305" s="5">
        <v>191</v>
      </c>
      <c r="H305" t="str">
        <f t="shared" si="21"/>
        <v>Valid</v>
      </c>
      <c r="I305" t="str">
        <f t="shared" si="22"/>
        <v>Valid</v>
      </c>
      <c r="J305" s="5">
        <f t="shared" si="23"/>
        <v>6490</v>
      </c>
      <c r="K305" s="5">
        <f t="shared" si="24"/>
        <v>6984</v>
      </c>
      <c r="L305" s="5">
        <f>IF(Table1[[#This Row],[Total_System_Load]]&gt;80%*AVERAGE(Table1[Total_System_Load]),Table1[[#This Row],[Total_System_Load]]-Table1[[#This Row],[Total_Children_Under_Care]],0)</f>
        <v>494</v>
      </c>
      <c r="M305" s="5">
        <f t="shared" si="20"/>
        <v>-15</v>
      </c>
      <c r="N305" s="5">
        <f>M306-Table1[[#This Row],[Net_Daily_Intake]]</f>
        <v>57</v>
      </c>
      <c r="O305" s="5">
        <f>M306-Table1[[#This Row],[Net_Daily_Intake]]/Table1[[#This Row],[Net_Daily_Intake]]</f>
        <v>41</v>
      </c>
      <c r="P305" t="str">
        <f>IF(Table1[[#This Row],[Change_in_Net_Daily_Intake]]&gt;0,"Sustained Positive","Negative")</f>
        <v>Sustained Positive</v>
      </c>
      <c r="Q305" s="1">
        <f>(Table1[[#This Row],[Total_System_Load]]-Table1[[#This Row],[Total_Children_Under_Care]])/Table1[[#This Row],[Total_Children_Under_Care]]*100</f>
        <v>7.6117103235747301</v>
      </c>
      <c r="R305" s="1">
        <f>(Table1[[#This Row],[Children_discharged _from_HHS_ Care]]/Table1[[#This Row],[Children_transferred_out_of_CBP_custody]])</f>
        <v>1.0852272727272727</v>
      </c>
    </row>
    <row r="306" spans="1:18" x14ac:dyDescent="0.3">
      <c r="A306">
        <v>305</v>
      </c>
      <c r="B306" s="7">
        <v>45398</v>
      </c>
      <c r="C306" s="5">
        <v>219</v>
      </c>
      <c r="D306" s="5">
        <v>392</v>
      </c>
      <c r="E306" s="5">
        <v>205</v>
      </c>
      <c r="F306" s="5">
        <v>6685</v>
      </c>
      <c r="G306" s="5">
        <v>163</v>
      </c>
      <c r="H306" t="str">
        <f t="shared" si="21"/>
        <v>Valid</v>
      </c>
      <c r="I306" t="str">
        <f t="shared" si="22"/>
        <v>Valid</v>
      </c>
      <c r="J306" s="5">
        <f t="shared" si="23"/>
        <v>6522</v>
      </c>
      <c r="K306" s="5">
        <f t="shared" si="24"/>
        <v>7077</v>
      </c>
      <c r="L306" s="5">
        <f>IF(Table1[[#This Row],[Total_System_Load]]&gt;80%*AVERAGE(Table1[Total_System_Load]),Table1[[#This Row],[Total_System_Load]]-Table1[[#This Row],[Total_Children_Under_Care]],0)</f>
        <v>555</v>
      </c>
      <c r="M306" s="5">
        <f t="shared" si="20"/>
        <v>42</v>
      </c>
      <c r="N306" s="5">
        <f>M307-Table1[[#This Row],[Net_Daily_Intake]]</f>
        <v>5</v>
      </c>
      <c r="O306" s="5">
        <f>M307-Table1[[#This Row],[Net_Daily_Intake]]/Table1[[#This Row],[Net_Daily_Intake]]</f>
        <v>46</v>
      </c>
      <c r="P306" t="str">
        <f>IF(Table1[[#This Row],[Change_in_Net_Daily_Intake]]&gt;0,"Sustained Positive","Negative")</f>
        <v>Sustained Positive</v>
      </c>
      <c r="Q306" s="1">
        <f>(Table1[[#This Row],[Total_System_Load]]-Table1[[#This Row],[Total_Children_Under_Care]])/Table1[[#This Row],[Total_Children_Under_Care]]*100</f>
        <v>8.5096596136154563</v>
      </c>
      <c r="R306" s="1">
        <f>(Table1[[#This Row],[Children_discharged _from_HHS_ Care]]/Table1[[#This Row],[Children_transferred_out_of_CBP_custody]])</f>
        <v>0.79512195121951224</v>
      </c>
    </row>
    <row r="307" spans="1:18" x14ac:dyDescent="0.3">
      <c r="A307">
        <v>306</v>
      </c>
      <c r="B307" s="7">
        <v>45399</v>
      </c>
      <c r="C307" s="5">
        <v>182</v>
      </c>
      <c r="D307" s="5">
        <v>371</v>
      </c>
      <c r="E307" s="5">
        <v>274</v>
      </c>
      <c r="F307" s="5">
        <v>6725</v>
      </c>
      <c r="G307" s="5">
        <v>227</v>
      </c>
      <c r="H307" t="str">
        <f t="shared" si="21"/>
        <v>Valid</v>
      </c>
      <c r="I307" t="str">
        <f t="shared" si="22"/>
        <v>Valid</v>
      </c>
      <c r="J307" s="5">
        <f t="shared" si="23"/>
        <v>6498</v>
      </c>
      <c r="K307" s="5">
        <f t="shared" si="24"/>
        <v>7096</v>
      </c>
      <c r="L307" s="5">
        <f>IF(Table1[[#This Row],[Total_System_Load]]&gt;80%*AVERAGE(Table1[Total_System_Load]),Table1[[#This Row],[Total_System_Load]]-Table1[[#This Row],[Total_Children_Under_Care]],0)</f>
        <v>598</v>
      </c>
      <c r="M307" s="5">
        <f t="shared" si="20"/>
        <v>47</v>
      </c>
      <c r="N307" s="5">
        <f>M308-Table1[[#This Row],[Net_Daily_Intake]]</f>
        <v>-49</v>
      </c>
      <c r="O307" s="5">
        <f>M308-Table1[[#This Row],[Net_Daily_Intake]]/Table1[[#This Row],[Net_Daily_Intake]]</f>
        <v>-3</v>
      </c>
      <c r="P307" t="str">
        <f>IF(Table1[[#This Row],[Change_in_Net_Daily_Intake]]&gt;0,"Sustained Positive","Negative")</f>
        <v>Negative</v>
      </c>
      <c r="Q307" s="1">
        <f>(Table1[[#This Row],[Total_System_Load]]-Table1[[#This Row],[Total_Children_Under_Care]])/Table1[[#This Row],[Total_Children_Under_Care]]*100</f>
        <v>9.2028316405047708</v>
      </c>
      <c r="R307" s="1">
        <f>(Table1[[#This Row],[Children_discharged _from_HHS_ Care]]/Table1[[#This Row],[Children_transferred_out_of_CBP_custody]])</f>
        <v>0.82846715328467158</v>
      </c>
    </row>
    <row r="308" spans="1:18" x14ac:dyDescent="0.3">
      <c r="A308">
        <v>307</v>
      </c>
      <c r="B308" s="7">
        <v>45400</v>
      </c>
      <c r="C308" s="5">
        <v>144</v>
      </c>
      <c r="D308" s="5">
        <v>322</v>
      </c>
      <c r="E308" s="5">
        <v>258</v>
      </c>
      <c r="F308" s="5">
        <v>6728</v>
      </c>
      <c r="G308" s="5">
        <v>260</v>
      </c>
      <c r="H308" t="str">
        <f t="shared" si="21"/>
        <v>Valid</v>
      </c>
      <c r="I308" t="str">
        <f t="shared" si="22"/>
        <v>Valid</v>
      </c>
      <c r="J308" s="5">
        <f t="shared" si="23"/>
        <v>6468</v>
      </c>
      <c r="K308" s="5">
        <f t="shared" si="24"/>
        <v>7050</v>
      </c>
      <c r="L308" s="5">
        <f>IF(Table1[[#This Row],[Total_System_Load]]&gt;80%*AVERAGE(Table1[Total_System_Load]),Table1[[#This Row],[Total_System_Load]]-Table1[[#This Row],[Total_Children_Under_Care]],0)</f>
        <v>582</v>
      </c>
      <c r="M308" s="5">
        <f t="shared" si="20"/>
        <v>-2</v>
      </c>
      <c r="N308" s="5">
        <f>M309-Table1[[#This Row],[Net_Daily_Intake]]</f>
        <v>105</v>
      </c>
      <c r="O308" s="5">
        <f>M309-Table1[[#This Row],[Net_Daily_Intake]]/Table1[[#This Row],[Net_Daily_Intake]]</f>
        <v>102</v>
      </c>
      <c r="P308" t="str">
        <f>IF(Table1[[#This Row],[Change_in_Net_Daily_Intake]]&gt;0,"Sustained Positive","Negative")</f>
        <v>Sustained Positive</v>
      </c>
      <c r="Q308" s="1">
        <f>(Table1[[#This Row],[Total_System_Load]]-Table1[[#This Row],[Total_Children_Under_Care]])/Table1[[#This Row],[Total_Children_Under_Care]]*100</f>
        <v>8.9981447124304275</v>
      </c>
      <c r="R308" s="1">
        <f>(Table1[[#This Row],[Children_discharged _from_HHS_ Care]]/Table1[[#This Row],[Children_transferred_out_of_CBP_custody]])</f>
        <v>1.0077519379844961</v>
      </c>
    </row>
    <row r="309" spans="1:18" x14ac:dyDescent="0.3">
      <c r="A309">
        <v>308</v>
      </c>
      <c r="B309" s="7">
        <v>45403</v>
      </c>
      <c r="C309" s="5">
        <v>208</v>
      </c>
      <c r="D309" s="5">
        <v>380</v>
      </c>
      <c r="E309" s="5">
        <v>343</v>
      </c>
      <c r="F309" s="5">
        <v>6745</v>
      </c>
      <c r="G309" s="5">
        <v>240</v>
      </c>
      <c r="H309" t="str">
        <f t="shared" si="21"/>
        <v>Valid</v>
      </c>
      <c r="I309" t="str">
        <f t="shared" si="22"/>
        <v>Valid</v>
      </c>
      <c r="J309" s="5">
        <f t="shared" si="23"/>
        <v>6505</v>
      </c>
      <c r="K309" s="5">
        <f t="shared" si="24"/>
        <v>7125</v>
      </c>
      <c r="L309" s="5">
        <f>IF(Table1[[#This Row],[Total_System_Load]]&gt;80%*AVERAGE(Table1[Total_System_Load]),Table1[[#This Row],[Total_System_Load]]-Table1[[#This Row],[Total_Children_Under_Care]],0)</f>
        <v>620</v>
      </c>
      <c r="M309" s="5">
        <f t="shared" si="20"/>
        <v>103</v>
      </c>
      <c r="N309" s="5">
        <f>M310-Table1[[#This Row],[Net_Daily_Intake]]</f>
        <v>-66</v>
      </c>
      <c r="O309" s="5">
        <f>M310-Table1[[#This Row],[Net_Daily_Intake]]/Table1[[#This Row],[Net_Daily_Intake]]</f>
        <v>36</v>
      </c>
      <c r="P309" t="str">
        <f>IF(Table1[[#This Row],[Change_in_Net_Daily_Intake]]&gt;0,"Sustained Positive","Negative")</f>
        <v>Negative</v>
      </c>
      <c r="Q309" s="1">
        <f>(Table1[[#This Row],[Total_System_Load]]-Table1[[#This Row],[Total_Children_Under_Care]])/Table1[[#This Row],[Total_Children_Under_Care]]*100</f>
        <v>9.5311299000768646</v>
      </c>
      <c r="R309" s="1">
        <f>(Table1[[#This Row],[Children_discharged _from_HHS_ Care]]/Table1[[#This Row],[Children_transferred_out_of_CBP_custody]])</f>
        <v>0.69970845481049559</v>
      </c>
    </row>
    <row r="310" spans="1:18" x14ac:dyDescent="0.3">
      <c r="A310">
        <v>309</v>
      </c>
      <c r="B310" s="7">
        <v>45404</v>
      </c>
      <c r="C310" s="5">
        <v>176</v>
      </c>
      <c r="D310" s="5">
        <v>424</v>
      </c>
      <c r="E310" s="5">
        <v>251</v>
      </c>
      <c r="F310" s="5">
        <v>6799</v>
      </c>
      <c r="G310" s="5">
        <v>214</v>
      </c>
      <c r="H310" t="str">
        <f t="shared" si="21"/>
        <v>Valid</v>
      </c>
      <c r="I310" t="str">
        <f t="shared" si="22"/>
        <v>Valid</v>
      </c>
      <c r="J310" s="5">
        <f t="shared" si="23"/>
        <v>6585</v>
      </c>
      <c r="K310" s="5">
        <f t="shared" si="24"/>
        <v>7223</v>
      </c>
      <c r="L310" s="5">
        <f>IF(Table1[[#This Row],[Total_System_Load]]&gt;80%*AVERAGE(Table1[Total_System_Load]),Table1[[#This Row],[Total_System_Load]]-Table1[[#This Row],[Total_Children_Under_Care]],0)</f>
        <v>638</v>
      </c>
      <c r="M310" s="5">
        <f t="shared" si="20"/>
        <v>37</v>
      </c>
      <c r="N310" s="5">
        <f>M311-Table1[[#This Row],[Net_Daily_Intake]]</f>
        <v>136</v>
      </c>
      <c r="O310" s="5">
        <f>M311-Table1[[#This Row],[Net_Daily_Intake]]/Table1[[#This Row],[Net_Daily_Intake]]</f>
        <v>172</v>
      </c>
      <c r="P310" t="str">
        <f>IF(Table1[[#This Row],[Change_in_Net_Daily_Intake]]&gt;0,"Sustained Positive","Negative")</f>
        <v>Sustained Positive</v>
      </c>
      <c r="Q310" s="1">
        <f>(Table1[[#This Row],[Total_System_Load]]-Table1[[#This Row],[Total_Children_Under_Care]])/Table1[[#This Row],[Total_Children_Under_Care]]*100</f>
        <v>9.6886864085041768</v>
      </c>
      <c r="R310" s="1">
        <f>(Table1[[#This Row],[Children_discharged _from_HHS_ Care]]/Table1[[#This Row],[Children_transferred_out_of_CBP_custody]])</f>
        <v>0.85258964143426297</v>
      </c>
    </row>
    <row r="311" spans="1:18" x14ac:dyDescent="0.3">
      <c r="A311">
        <v>310</v>
      </c>
      <c r="B311" s="7">
        <v>45405</v>
      </c>
      <c r="C311" s="5">
        <v>252</v>
      </c>
      <c r="D311" s="5">
        <v>427</v>
      </c>
      <c r="E311" s="5">
        <v>307</v>
      </c>
      <c r="F311" s="5">
        <v>6967</v>
      </c>
      <c r="G311" s="5">
        <v>134</v>
      </c>
      <c r="H311" t="str">
        <f t="shared" si="21"/>
        <v>Valid</v>
      </c>
      <c r="I311" t="str">
        <f t="shared" si="22"/>
        <v>Valid</v>
      </c>
      <c r="J311" s="5">
        <f t="shared" si="23"/>
        <v>6833</v>
      </c>
      <c r="K311" s="5">
        <f t="shared" si="24"/>
        <v>7394</v>
      </c>
      <c r="L311" s="5">
        <f>IF(Table1[[#This Row],[Total_System_Load]]&gt;80%*AVERAGE(Table1[Total_System_Load]),Table1[[#This Row],[Total_System_Load]]-Table1[[#This Row],[Total_Children_Under_Care]],0)</f>
        <v>561</v>
      </c>
      <c r="M311" s="5">
        <f t="shared" si="20"/>
        <v>173</v>
      </c>
      <c r="N311" s="5">
        <f>M312-Table1[[#This Row],[Net_Daily_Intake]]</f>
        <v>-20</v>
      </c>
      <c r="O311" s="5">
        <f>M312-Table1[[#This Row],[Net_Daily_Intake]]/Table1[[#This Row],[Net_Daily_Intake]]</f>
        <v>152</v>
      </c>
      <c r="P311" t="str">
        <f>IF(Table1[[#This Row],[Change_in_Net_Daily_Intake]]&gt;0,"Sustained Positive","Negative")</f>
        <v>Negative</v>
      </c>
      <c r="Q311" s="1">
        <f>(Table1[[#This Row],[Total_System_Load]]-Table1[[#This Row],[Total_Children_Under_Care]])/Table1[[#This Row],[Total_Children_Under_Care]]*100</f>
        <v>8.2101565930045357</v>
      </c>
      <c r="R311" s="1">
        <f>(Table1[[#This Row],[Children_discharged _from_HHS_ Care]]/Table1[[#This Row],[Children_transferred_out_of_CBP_custody]])</f>
        <v>0.43648208469055377</v>
      </c>
    </row>
    <row r="312" spans="1:18" x14ac:dyDescent="0.3">
      <c r="A312">
        <v>311</v>
      </c>
      <c r="B312" s="7">
        <v>45406</v>
      </c>
      <c r="C312" s="5">
        <v>253</v>
      </c>
      <c r="D312" s="5">
        <v>411</v>
      </c>
      <c r="E312" s="5">
        <v>307</v>
      </c>
      <c r="F312" s="5">
        <v>7128</v>
      </c>
      <c r="G312" s="5">
        <v>154</v>
      </c>
      <c r="H312" t="str">
        <f t="shared" si="21"/>
        <v>Valid</v>
      </c>
      <c r="I312" t="str">
        <f t="shared" si="22"/>
        <v>Valid</v>
      </c>
      <c r="J312" s="5">
        <f t="shared" si="23"/>
        <v>6974</v>
      </c>
      <c r="K312" s="5">
        <f t="shared" si="24"/>
        <v>7539</v>
      </c>
      <c r="L312" s="5">
        <f>IF(Table1[[#This Row],[Total_System_Load]]&gt;80%*AVERAGE(Table1[Total_System_Load]),Table1[[#This Row],[Total_System_Load]]-Table1[[#This Row],[Total_Children_Under_Care]],0)</f>
        <v>565</v>
      </c>
      <c r="M312" s="5">
        <f t="shared" si="20"/>
        <v>153</v>
      </c>
      <c r="N312" s="5">
        <f>M313-Table1[[#This Row],[Net_Daily_Intake]]</f>
        <v>-37</v>
      </c>
      <c r="O312" s="5">
        <f>M313-Table1[[#This Row],[Net_Daily_Intake]]/Table1[[#This Row],[Net_Daily_Intake]]</f>
        <v>115</v>
      </c>
      <c r="P312" t="str">
        <f>IF(Table1[[#This Row],[Change_in_Net_Daily_Intake]]&gt;0,"Sustained Positive","Negative")</f>
        <v>Negative</v>
      </c>
      <c r="Q312" s="1">
        <f>(Table1[[#This Row],[Total_System_Load]]-Table1[[#This Row],[Total_Children_Under_Care]])/Table1[[#This Row],[Total_Children_Under_Care]]*100</f>
        <v>8.1015199311729269</v>
      </c>
      <c r="R312" s="1">
        <f>(Table1[[#This Row],[Children_discharged _from_HHS_ Care]]/Table1[[#This Row],[Children_transferred_out_of_CBP_custody]])</f>
        <v>0.50162866449511401</v>
      </c>
    </row>
    <row r="313" spans="1:18" x14ac:dyDescent="0.3">
      <c r="A313">
        <v>312</v>
      </c>
      <c r="B313" s="7">
        <v>45407</v>
      </c>
      <c r="C313" s="5">
        <v>145</v>
      </c>
      <c r="D313" s="5">
        <v>357</v>
      </c>
      <c r="E313" s="5">
        <v>333</v>
      </c>
      <c r="F313" s="5">
        <v>7209</v>
      </c>
      <c r="G313" s="5">
        <v>217</v>
      </c>
      <c r="H313" t="str">
        <f t="shared" si="21"/>
        <v>Valid</v>
      </c>
      <c r="I313" t="str">
        <f t="shared" si="22"/>
        <v>Valid</v>
      </c>
      <c r="J313" s="5">
        <f t="shared" si="23"/>
        <v>6992</v>
      </c>
      <c r="K313" s="5">
        <f t="shared" si="24"/>
        <v>7566</v>
      </c>
      <c r="L313" s="5">
        <f>IF(Table1[[#This Row],[Total_System_Load]]&gt;80%*AVERAGE(Table1[Total_System_Load]),Table1[[#This Row],[Total_System_Load]]-Table1[[#This Row],[Total_Children_Under_Care]],0)</f>
        <v>574</v>
      </c>
      <c r="M313" s="5">
        <f t="shared" si="20"/>
        <v>116</v>
      </c>
      <c r="N313" s="5">
        <f>M314-Table1[[#This Row],[Net_Daily_Intake]]</f>
        <v>-1</v>
      </c>
      <c r="O313" s="5">
        <f>M314-Table1[[#This Row],[Net_Daily_Intake]]/Table1[[#This Row],[Net_Daily_Intake]]</f>
        <v>114</v>
      </c>
      <c r="P313" t="str">
        <f>IF(Table1[[#This Row],[Change_in_Net_Daily_Intake]]&gt;0,"Sustained Positive","Negative")</f>
        <v>Negative</v>
      </c>
      <c r="Q313" s="1">
        <f>(Table1[[#This Row],[Total_System_Load]]-Table1[[#This Row],[Total_Children_Under_Care]])/Table1[[#This Row],[Total_Children_Under_Care]]*100</f>
        <v>8.2093821510297484</v>
      </c>
      <c r="R313" s="1">
        <f>(Table1[[#This Row],[Children_discharged _from_HHS_ Care]]/Table1[[#This Row],[Children_transferred_out_of_CBP_custody]])</f>
        <v>0.65165165165165162</v>
      </c>
    </row>
    <row r="314" spans="1:18" x14ac:dyDescent="0.3">
      <c r="A314">
        <v>313</v>
      </c>
      <c r="B314" s="7">
        <v>45410</v>
      </c>
      <c r="C314" s="5">
        <v>158</v>
      </c>
      <c r="D314" s="5">
        <v>349</v>
      </c>
      <c r="E314" s="5">
        <v>365</v>
      </c>
      <c r="F314" s="5">
        <v>7298</v>
      </c>
      <c r="G314" s="5">
        <v>250</v>
      </c>
      <c r="H314" t="str">
        <f t="shared" si="21"/>
        <v>Invalid</v>
      </c>
      <c r="I314" t="str">
        <f t="shared" si="22"/>
        <v>Valid</v>
      </c>
      <c r="J314" s="5">
        <f t="shared" si="23"/>
        <v>7048</v>
      </c>
      <c r="K314" s="5">
        <f t="shared" si="24"/>
        <v>7647</v>
      </c>
      <c r="L314" s="5">
        <f>IF(Table1[[#This Row],[Total_System_Load]]&gt;80%*AVERAGE(Table1[Total_System_Load]),Table1[[#This Row],[Total_System_Load]]-Table1[[#This Row],[Total_Children_Under_Care]],0)</f>
        <v>599</v>
      </c>
      <c r="M314" s="5">
        <f t="shared" si="20"/>
        <v>115</v>
      </c>
      <c r="N314" s="5">
        <f>M315-Table1[[#This Row],[Net_Daily_Intake]]</f>
        <v>-47</v>
      </c>
      <c r="O314" s="5">
        <f>M315-Table1[[#This Row],[Net_Daily_Intake]]/Table1[[#This Row],[Net_Daily_Intake]]</f>
        <v>67</v>
      </c>
      <c r="P314" t="str">
        <f>IF(Table1[[#This Row],[Change_in_Net_Daily_Intake]]&gt;0,"Sustained Positive","Negative")</f>
        <v>Negative</v>
      </c>
      <c r="Q314" s="1">
        <f>(Table1[[#This Row],[Total_System_Load]]-Table1[[#This Row],[Total_Children_Under_Care]])/Table1[[#This Row],[Total_Children_Under_Care]]*100</f>
        <v>8.4988649262202038</v>
      </c>
      <c r="R314" s="1">
        <f>(Table1[[#This Row],[Children_discharged _from_HHS_ Care]]/Table1[[#This Row],[Children_transferred_out_of_CBP_custody]])</f>
        <v>0.68493150684931503</v>
      </c>
    </row>
    <row r="315" spans="1:18" x14ac:dyDescent="0.3">
      <c r="A315">
        <v>314</v>
      </c>
      <c r="B315" s="7">
        <v>45411</v>
      </c>
      <c r="C315" s="5">
        <v>140</v>
      </c>
      <c r="D315" s="5">
        <v>292</v>
      </c>
      <c r="E315" s="5">
        <v>255</v>
      </c>
      <c r="F315" s="5">
        <v>7373</v>
      </c>
      <c r="G315" s="5">
        <v>187</v>
      </c>
      <c r="H315" t="str">
        <f t="shared" si="21"/>
        <v>Valid</v>
      </c>
      <c r="I315" t="str">
        <f t="shared" si="22"/>
        <v>Valid</v>
      </c>
      <c r="J315" s="5">
        <f t="shared" si="23"/>
        <v>7186</v>
      </c>
      <c r="K315" s="5">
        <f t="shared" si="24"/>
        <v>7665</v>
      </c>
      <c r="L315" s="5">
        <f>IF(Table1[[#This Row],[Total_System_Load]]&gt;80%*AVERAGE(Table1[Total_System_Load]),Table1[[#This Row],[Total_System_Load]]-Table1[[#This Row],[Total_Children_Under_Care]],0)</f>
        <v>479</v>
      </c>
      <c r="M315" s="5">
        <f t="shared" si="20"/>
        <v>68</v>
      </c>
      <c r="N315" s="5">
        <f>M316-Table1[[#This Row],[Net_Daily_Intake]]</f>
        <v>-9</v>
      </c>
      <c r="O315" s="5">
        <f>M316-Table1[[#This Row],[Net_Daily_Intake]]/Table1[[#This Row],[Net_Daily_Intake]]</f>
        <v>58</v>
      </c>
      <c r="P315" t="str">
        <f>IF(Table1[[#This Row],[Change_in_Net_Daily_Intake]]&gt;0,"Sustained Positive","Negative")</f>
        <v>Negative</v>
      </c>
      <c r="Q315" s="1">
        <f>(Table1[[#This Row],[Total_System_Load]]-Table1[[#This Row],[Total_Children_Under_Care]])/Table1[[#This Row],[Total_Children_Under_Care]]*100</f>
        <v>6.6657389368215973</v>
      </c>
      <c r="R315" s="1">
        <f>(Table1[[#This Row],[Children_discharged _from_HHS_ Care]]/Table1[[#This Row],[Children_transferred_out_of_CBP_custody]])</f>
        <v>0.73333333333333328</v>
      </c>
    </row>
    <row r="316" spans="1:18" x14ac:dyDescent="0.3">
      <c r="A316">
        <v>315</v>
      </c>
      <c r="B316" s="7">
        <v>45412</v>
      </c>
      <c r="C316" s="5">
        <v>220</v>
      </c>
      <c r="D316" s="5">
        <v>443</v>
      </c>
      <c r="E316" s="5">
        <v>194</v>
      </c>
      <c r="F316" s="5">
        <v>7431</v>
      </c>
      <c r="G316" s="5">
        <v>135</v>
      </c>
      <c r="H316" t="str">
        <f t="shared" si="21"/>
        <v>Valid</v>
      </c>
      <c r="I316" t="str">
        <f t="shared" si="22"/>
        <v>Valid</v>
      </c>
      <c r="J316" s="5">
        <f t="shared" si="23"/>
        <v>7296</v>
      </c>
      <c r="K316" s="5">
        <f t="shared" si="24"/>
        <v>7874</v>
      </c>
      <c r="L316" s="5">
        <f>IF(Table1[[#This Row],[Total_System_Load]]&gt;80%*AVERAGE(Table1[Total_System_Load]),Table1[[#This Row],[Total_System_Load]]-Table1[[#This Row],[Total_Children_Under_Care]],0)</f>
        <v>578</v>
      </c>
      <c r="M316" s="5">
        <f t="shared" si="20"/>
        <v>59</v>
      </c>
      <c r="N316" s="5">
        <f>M317-Table1[[#This Row],[Net_Daily_Intake]]</f>
        <v>46</v>
      </c>
      <c r="O316" s="5">
        <f>M317-Table1[[#This Row],[Net_Daily_Intake]]/Table1[[#This Row],[Net_Daily_Intake]]</f>
        <v>104</v>
      </c>
      <c r="P316" t="str">
        <f>IF(Table1[[#This Row],[Change_in_Net_Daily_Intake]]&gt;0,"Sustained Positive","Negative")</f>
        <v>Sustained Positive</v>
      </c>
      <c r="Q316" s="1">
        <f>(Table1[[#This Row],[Total_System_Load]]-Table1[[#This Row],[Total_Children_Under_Care]])/Table1[[#This Row],[Total_Children_Under_Care]]*100</f>
        <v>7.922149122807018</v>
      </c>
      <c r="R316" s="1">
        <f>(Table1[[#This Row],[Children_discharged _from_HHS_ Care]]/Table1[[#This Row],[Children_transferred_out_of_CBP_custody]])</f>
        <v>0.69587628865979378</v>
      </c>
    </row>
    <row r="317" spans="1:18" x14ac:dyDescent="0.3">
      <c r="A317">
        <v>316</v>
      </c>
      <c r="B317" s="7">
        <v>45413</v>
      </c>
      <c r="C317" s="5">
        <v>197</v>
      </c>
      <c r="D317" s="5">
        <v>437</v>
      </c>
      <c r="E317" s="5">
        <v>295</v>
      </c>
      <c r="F317" s="5">
        <v>7508</v>
      </c>
      <c r="G317" s="5">
        <v>190</v>
      </c>
      <c r="H317" t="str">
        <f t="shared" si="21"/>
        <v>Valid</v>
      </c>
      <c r="I317" t="str">
        <f t="shared" si="22"/>
        <v>Valid</v>
      </c>
      <c r="J317" s="5">
        <f t="shared" si="23"/>
        <v>7318</v>
      </c>
      <c r="K317" s="5">
        <f t="shared" si="24"/>
        <v>7945</v>
      </c>
      <c r="L317" s="5">
        <f>IF(Table1[[#This Row],[Total_System_Load]]&gt;80%*AVERAGE(Table1[Total_System_Load]),Table1[[#This Row],[Total_System_Load]]-Table1[[#This Row],[Total_Children_Under_Care]],0)</f>
        <v>627</v>
      </c>
      <c r="M317" s="5">
        <f t="shared" si="20"/>
        <v>105</v>
      </c>
      <c r="N317" s="5">
        <f>M318-Table1[[#This Row],[Net_Daily_Intake]]</f>
        <v>-6</v>
      </c>
      <c r="O317" s="5">
        <f>M318-Table1[[#This Row],[Net_Daily_Intake]]/Table1[[#This Row],[Net_Daily_Intake]]</f>
        <v>98</v>
      </c>
      <c r="P317" t="str">
        <f>IF(Table1[[#This Row],[Change_in_Net_Daily_Intake]]&gt;0,"Sustained Positive","Negative")</f>
        <v>Negative</v>
      </c>
      <c r="Q317" s="1">
        <f>(Table1[[#This Row],[Total_System_Load]]-Table1[[#This Row],[Total_Children_Under_Care]])/Table1[[#This Row],[Total_Children_Under_Care]]*100</f>
        <v>8.5679147308007657</v>
      </c>
      <c r="R317" s="1">
        <f>(Table1[[#This Row],[Children_discharged _from_HHS_ Care]]/Table1[[#This Row],[Children_transferred_out_of_CBP_custody]])</f>
        <v>0.64406779661016944</v>
      </c>
    </row>
    <row r="318" spans="1:18" x14ac:dyDescent="0.3">
      <c r="A318">
        <v>317</v>
      </c>
      <c r="B318" s="7">
        <v>45414</v>
      </c>
      <c r="C318" s="5">
        <v>206</v>
      </c>
      <c r="D318" s="5">
        <v>411</v>
      </c>
      <c r="E318" s="5">
        <v>293</v>
      </c>
      <c r="F318" s="5">
        <v>7577</v>
      </c>
      <c r="G318" s="5">
        <v>194</v>
      </c>
      <c r="H318" t="str">
        <f t="shared" si="21"/>
        <v>Valid</v>
      </c>
      <c r="I318" t="str">
        <f t="shared" si="22"/>
        <v>Valid</v>
      </c>
      <c r="J318" s="5">
        <f t="shared" si="23"/>
        <v>7383</v>
      </c>
      <c r="K318" s="5">
        <f t="shared" si="24"/>
        <v>7988</v>
      </c>
      <c r="L318" s="5">
        <f>IF(Table1[[#This Row],[Total_System_Load]]&gt;80%*AVERAGE(Table1[Total_System_Load]),Table1[[#This Row],[Total_System_Load]]-Table1[[#This Row],[Total_Children_Under_Care]],0)</f>
        <v>605</v>
      </c>
      <c r="M318" s="5">
        <f t="shared" si="20"/>
        <v>99</v>
      </c>
      <c r="N318" s="5">
        <f>M319-Table1[[#This Row],[Net_Daily_Intake]]</f>
        <v>-203</v>
      </c>
      <c r="O318" s="5">
        <f>M319-Table1[[#This Row],[Net_Daily_Intake]]/Table1[[#This Row],[Net_Daily_Intake]]</f>
        <v>-105</v>
      </c>
      <c r="P318" t="str">
        <f>IF(Table1[[#This Row],[Change_in_Net_Daily_Intake]]&gt;0,"Sustained Positive","Negative")</f>
        <v>Negative</v>
      </c>
      <c r="Q318" s="1">
        <f>(Table1[[#This Row],[Total_System_Load]]-Table1[[#This Row],[Total_Children_Under_Care]])/Table1[[#This Row],[Total_Children_Under_Care]]*100</f>
        <v>8.1945008804009198</v>
      </c>
      <c r="R318" s="1">
        <f>(Table1[[#This Row],[Children_discharged _from_HHS_ Care]]/Table1[[#This Row],[Children_transferred_out_of_CBP_custody]])</f>
        <v>0.66211604095563137</v>
      </c>
    </row>
    <row r="319" spans="1:18" x14ac:dyDescent="0.3">
      <c r="A319">
        <v>318</v>
      </c>
      <c r="B319" s="7">
        <v>45417</v>
      </c>
      <c r="C319" s="5">
        <v>150</v>
      </c>
      <c r="D319" s="5">
        <v>315</v>
      </c>
      <c r="E319" s="5">
        <v>228</v>
      </c>
      <c r="F319" s="5">
        <v>7447</v>
      </c>
      <c r="G319" s="5">
        <v>332</v>
      </c>
      <c r="H319" t="str">
        <f t="shared" si="21"/>
        <v>Valid</v>
      </c>
      <c r="I319" t="str">
        <f t="shared" si="22"/>
        <v>Valid</v>
      </c>
      <c r="J319" s="5">
        <f t="shared" si="23"/>
        <v>7115</v>
      </c>
      <c r="K319" s="5">
        <f t="shared" si="24"/>
        <v>7762</v>
      </c>
      <c r="L319" s="5">
        <f>IF(Table1[[#This Row],[Total_System_Load]]&gt;80%*AVERAGE(Table1[Total_System_Load]),Table1[[#This Row],[Total_System_Load]]-Table1[[#This Row],[Total_Children_Under_Care]],0)</f>
        <v>647</v>
      </c>
      <c r="M319" s="5">
        <f t="shared" si="20"/>
        <v>-104</v>
      </c>
      <c r="N319" s="5">
        <f>M320-Table1[[#This Row],[Net_Daily_Intake]]</f>
        <v>110</v>
      </c>
      <c r="O319" s="5">
        <f>M320-Table1[[#This Row],[Net_Daily_Intake]]/Table1[[#This Row],[Net_Daily_Intake]]</f>
        <v>5</v>
      </c>
      <c r="P319" t="str">
        <f>IF(Table1[[#This Row],[Change_in_Net_Daily_Intake]]&gt;0,"Sustained Positive","Negative")</f>
        <v>Sustained Positive</v>
      </c>
      <c r="Q319" s="1">
        <f>(Table1[[#This Row],[Total_System_Load]]-Table1[[#This Row],[Total_Children_Under_Care]])/Table1[[#This Row],[Total_Children_Under_Care]]*100</f>
        <v>9.0934645115952222</v>
      </c>
      <c r="R319" s="1">
        <f>(Table1[[#This Row],[Children_discharged _from_HHS_ Care]]/Table1[[#This Row],[Children_transferred_out_of_CBP_custody]])</f>
        <v>1.4561403508771931</v>
      </c>
    </row>
    <row r="320" spans="1:18" x14ac:dyDescent="0.3">
      <c r="A320">
        <v>319</v>
      </c>
      <c r="B320" s="7">
        <v>45418</v>
      </c>
      <c r="C320" s="5">
        <v>173</v>
      </c>
      <c r="D320" s="5">
        <v>337</v>
      </c>
      <c r="E320" s="5">
        <v>211</v>
      </c>
      <c r="F320" s="5">
        <v>7449</v>
      </c>
      <c r="G320" s="5">
        <v>205</v>
      </c>
      <c r="H320" t="str">
        <f t="shared" si="21"/>
        <v>Valid</v>
      </c>
      <c r="I320" t="str">
        <f t="shared" si="22"/>
        <v>Valid</v>
      </c>
      <c r="J320" s="5">
        <f t="shared" si="23"/>
        <v>7244</v>
      </c>
      <c r="K320" s="5">
        <f t="shared" si="24"/>
        <v>7786</v>
      </c>
      <c r="L320" s="5">
        <f>IF(Table1[[#This Row],[Total_System_Load]]&gt;80%*AVERAGE(Table1[Total_System_Load]),Table1[[#This Row],[Total_System_Load]]-Table1[[#This Row],[Total_Children_Under_Care]],0)</f>
        <v>542</v>
      </c>
      <c r="M320" s="5">
        <f t="shared" si="20"/>
        <v>6</v>
      </c>
      <c r="N320" s="5">
        <f>M321-Table1[[#This Row],[Net_Daily_Intake]]</f>
        <v>77</v>
      </c>
      <c r="O320" s="5">
        <f>M321-Table1[[#This Row],[Net_Daily_Intake]]/Table1[[#This Row],[Net_Daily_Intake]]</f>
        <v>82</v>
      </c>
      <c r="P320" t="str">
        <f>IF(Table1[[#This Row],[Change_in_Net_Daily_Intake]]&gt;0,"Sustained Positive","Negative")</f>
        <v>Sustained Positive</v>
      </c>
      <c r="Q320" s="1">
        <f>(Table1[[#This Row],[Total_System_Load]]-Table1[[#This Row],[Total_Children_Under_Care]])/Table1[[#This Row],[Total_Children_Under_Care]]*100</f>
        <v>7.4820541137493102</v>
      </c>
      <c r="R320" s="1">
        <f>(Table1[[#This Row],[Children_discharged _from_HHS_ Care]]/Table1[[#This Row],[Children_transferred_out_of_CBP_custody]])</f>
        <v>0.97156398104265407</v>
      </c>
    </row>
    <row r="321" spans="1:18" x14ac:dyDescent="0.3">
      <c r="A321">
        <v>320</v>
      </c>
      <c r="B321" s="7">
        <v>45419</v>
      </c>
      <c r="C321" s="5">
        <v>176</v>
      </c>
      <c r="D321" s="5">
        <v>334</v>
      </c>
      <c r="E321" s="5">
        <v>246</v>
      </c>
      <c r="F321" s="5">
        <v>7566</v>
      </c>
      <c r="G321" s="5">
        <v>163</v>
      </c>
      <c r="H321" t="str">
        <f t="shared" si="21"/>
        <v>Valid</v>
      </c>
      <c r="I321" t="str">
        <f t="shared" si="22"/>
        <v>Valid</v>
      </c>
      <c r="J321" s="5">
        <f t="shared" si="23"/>
        <v>7403</v>
      </c>
      <c r="K321" s="5">
        <f t="shared" si="24"/>
        <v>7900</v>
      </c>
      <c r="L321" s="5">
        <f>IF(Table1[[#This Row],[Total_System_Load]]&gt;80%*AVERAGE(Table1[Total_System_Load]),Table1[[#This Row],[Total_System_Load]]-Table1[[#This Row],[Total_Children_Under_Care]],0)</f>
        <v>497</v>
      </c>
      <c r="M321" s="5">
        <f t="shared" si="20"/>
        <v>83</v>
      </c>
      <c r="N321" s="5">
        <f>M322-Table1[[#This Row],[Net_Daily_Intake]]</f>
        <v>-80</v>
      </c>
      <c r="O321" s="5">
        <f>M322-Table1[[#This Row],[Net_Daily_Intake]]/Table1[[#This Row],[Net_Daily_Intake]]</f>
        <v>2</v>
      </c>
      <c r="P321" t="str">
        <f>IF(Table1[[#This Row],[Change_in_Net_Daily_Intake]]&gt;0,"Sustained Positive","Negative")</f>
        <v>Negative</v>
      </c>
      <c r="Q321" s="1">
        <f>(Table1[[#This Row],[Total_System_Load]]-Table1[[#This Row],[Total_Children_Under_Care]])/Table1[[#This Row],[Total_Children_Under_Care]]*100</f>
        <v>6.7134945292449011</v>
      </c>
      <c r="R321" s="1">
        <f>(Table1[[#This Row],[Children_discharged _from_HHS_ Care]]/Table1[[#This Row],[Children_transferred_out_of_CBP_custody]])</f>
        <v>0.66260162601626016</v>
      </c>
    </row>
    <row r="322" spans="1:18" x14ac:dyDescent="0.3">
      <c r="A322">
        <v>321</v>
      </c>
      <c r="B322" s="7">
        <v>45420</v>
      </c>
      <c r="C322" s="5">
        <v>167</v>
      </c>
      <c r="D322" s="5">
        <v>374</v>
      </c>
      <c r="E322" s="5">
        <v>205</v>
      </c>
      <c r="F322" s="5">
        <v>7583</v>
      </c>
      <c r="G322" s="5">
        <v>202</v>
      </c>
      <c r="H322" t="str">
        <f t="shared" si="21"/>
        <v>Valid</v>
      </c>
      <c r="I322" t="str">
        <f t="shared" si="22"/>
        <v>Valid</v>
      </c>
      <c r="J322" s="5">
        <f t="shared" si="23"/>
        <v>7381</v>
      </c>
      <c r="K322" s="5">
        <f t="shared" si="24"/>
        <v>7957</v>
      </c>
      <c r="L322" s="5">
        <f>IF(Table1[[#This Row],[Total_System_Load]]&gt;80%*AVERAGE(Table1[Total_System_Load]),Table1[[#This Row],[Total_System_Load]]-Table1[[#This Row],[Total_Children_Under_Care]],0)</f>
        <v>576</v>
      </c>
      <c r="M322" s="5">
        <f t="shared" ref="M322:M385" si="25">E322-G322</f>
        <v>3</v>
      </c>
      <c r="N322" s="5">
        <f>M323-Table1[[#This Row],[Net_Daily_Intake]]</f>
        <v>21</v>
      </c>
      <c r="O322" s="5">
        <f>M323-Table1[[#This Row],[Net_Daily_Intake]]/Table1[[#This Row],[Net_Daily_Intake]]</f>
        <v>23</v>
      </c>
      <c r="P322" t="str">
        <f>IF(Table1[[#This Row],[Change_in_Net_Daily_Intake]]&gt;0,"Sustained Positive","Negative")</f>
        <v>Sustained Positive</v>
      </c>
      <c r="Q322" s="1">
        <f>(Table1[[#This Row],[Total_System_Load]]-Table1[[#This Row],[Total_Children_Under_Care]])/Table1[[#This Row],[Total_Children_Under_Care]]*100</f>
        <v>7.8038206205121252</v>
      </c>
      <c r="R322" s="1">
        <f>(Table1[[#This Row],[Children_discharged _from_HHS_ Care]]/Table1[[#This Row],[Children_transferred_out_of_CBP_custody]])</f>
        <v>0.98536585365853657</v>
      </c>
    </row>
    <row r="323" spans="1:18" x14ac:dyDescent="0.3">
      <c r="A323">
        <v>322</v>
      </c>
      <c r="B323" s="7">
        <v>45421</v>
      </c>
      <c r="C323" s="5">
        <v>138</v>
      </c>
      <c r="D323" s="5">
        <v>285</v>
      </c>
      <c r="E323" s="5">
        <v>268</v>
      </c>
      <c r="F323" s="5">
        <v>7570</v>
      </c>
      <c r="G323" s="5">
        <v>244</v>
      </c>
      <c r="H323" t="str">
        <f t="shared" ref="H323:H386" si="26">IF(E323&lt;=D323,"Valid","Invalid")</f>
        <v>Valid</v>
      </c>
      <c r="I323" t="str">
        <f t="shared" ref="I323:I386" si="27">IF(G323&lt;=F323,"Valid","Invalid")</f>
        <v>Valid</v>
      </c>
      <c r="J323" s="5">
        <f t="shared" ref="J323:J386" si="28">F323-G323</f>
        <v>7326</v>
      </c>
      <c r="K323" s="5">
        <f t="shared" ref="K323:K386" si="29">D323+F323</f>
        <v>7855</v>
      </c>
      <c r="L323" s="5">
        <f>IF(Table1[[#This Row],[Total_System_Load]]&gt;80%*AVERAGE(Table1[Total_System_Load]),Table1[[#This Row],[Total_System_Load]]-Table1[[#This Row],[Total_Children_Under_Care]],0)</f>
        <v>529</v>
      </c>
      <c r="M323" s="5">
        <f t="shared" si="25"/>
        <v>24</v>
      </c>
      <c r="N323" s="5">
        <f>M324-Table1[[#This Row],[Net_Daily_Intake]]</f>
        <v>-6</v>
      </c>
      <c r="O323" s="5">
        <f>M324-Table1[[#This Row],[Net_Daily_Intake]]/Table1[[#This Row],[Net_Daily_Intake]]</f>
        <v>17</v>
      </c>
      <c r="P323" t="str">
        <f>IF(Table1[[#This Row],[Change_in_Net_Daily_Intake]]&gt;0,"Sustained Positive","Negative")</f>
        <v>Negative</v>
      </c>
      <c r="Q323" s="1">
        <f>(Table1[[#This Row],[Total_System_Load]]-Table1[[#This Row],[Total_Children_Under_Care]])/Table1[[#This Row],[Total_Children_Under_Care]]*100</f>
        <v>7.220857220857221</v>
      </c>
      <c r="R323" s="1">
        <f>(Table1[[#This Row],[Children_discharged _from_HHS_ Care]]/Table1[[#This Row],[Children_transferred_out_of_CBP_custody]])</f>
        <v>0.91044776119402981</v>
      </c>
    </row>
    <row r="324" spans="1:18" x14ac:dyDescent="0.3">
      <c r="A324">
        <v>323</v>
      </c>
      <c r="B324" s="7">
        <v>45424</v>
      </c>
      <c r="C324" s="5">
        <v>138</v>
      </c>
      <c r="D324" s="5">
        <v>301</v>
      </c>
      <c r="E324" s="5">
        <v>263</v>
      </c>
      <c r="F324" s="5">
        <v>7464</v>
      </c>
      <c r="G324" s="5">
        <v>245</v>
      </c>
      <c r="H324" t="str">
        <f t="shared" si="26"/>
        <v>Valid</v>
      </c>
      <c r="I324" t="str">
        <f t="shared" si="27"/>
        <v>Valid</v>
      </c>
      <c r="J324" s="5">
        <f t="shared" si="28"/>
        <v>7219</v>
      </c>
      <c r="K324" s="5">
        <f t="shared" si="29"/>
        <v>7765</v>
      </c>
      <c r="L324" s="5">
        <f>IF(Table1[[#This Row],[Total_System_Load]]&gt;80%*AVERAGE(Table1[Total_System_Load]),Table1[[#This Row],[Total_System_Load]]-Table1[[#This Row],[Total_Children_Under_Care]],0)</f>
        <v>546</v>
      </c>
      <c r="M324" s="5">
        <f t="shared" si="25"/>
        <v>18</v>
      </c>
      <c r="N324" s="5">
        <f>M325-Table1[[#This Row],[Net_Daily_Intake]]</f>
        <v>-8</v>
      </c>
      <c r="O324" s="5">
        <f>M325-Table1[[#This Row],[Net_Daily_Intake]]/Table1[[#This Row],[Net_Daily_Intake]]</f>
        <v>9</v>
      </c>
      <c r="P324" t="str">
        <f>IF(Table1[[#This Row],[Change_in_Net_Daily_Intake]]&gt;0,"Sustained Positive","Negative")</f>
        <v>Negative</v>
      </c>
      <c r="Q324" s="1">
        <f>(Table1[[#This Row],[Total_System_Load]]-Table1[[#This Row],[Total_Children_Under_Care]])/Table1[[#This Row],[Total_Children_Under_Care]]*100</f>
        <v>7.5633744285912172</v>
      </c>
      <c r="R324" s="1">
        <f>(Table1[[#This Row],[Children_discharged _from_HHS_ Care]]/Table1[[#This Row],[Children_transferred_out_of_CBP_custody]])</f>
        <v>0.9315589353612167</v>
      </c>
    </row>
    <row r="325" spans="1:18" x14ac:dyDescent="0.3">
      <c r="A325">
        <v>324</v>
      </c>
      <c r="B325" s="7">
        <v>45425</v>
      </c>
      <c r="C325" s="5">
        <v>112</v>
      </c>
      <c r="D325" s="5">
        <v>331</v>
      </c>
      <c r="E325" s="5">
        <v>167</v>
      </c>
      <c r="F325" s="5">
        <v>7499</v>
      </c>
      <c r="G325" s="5">
        <v>157</v>
      </c>
      <c r="H325" t="str">
        <f t="shared" si="26"/>
        <v>Valid</v>
      </c>
      <c r="I325" t="str">
        <f t="shared" si="27"/>
        <v>Valid</v>
      </c>
      <c r="J325" s="5">
        <f t="shared" si="28"/>
        <v>7342</v>
      </c>
      <c r="K325" s="5">
        <f t="shared" si="29"/>
        <v>7830</v>
      </c>
      <c r="L325" s="5">
        <f>IF(Table1[[#This Row],[Total_System_Load]]&gt;80%*AVERAGE(Table1[Total_System_Load]),Table1[[#This Row],[Total_System_Load]]-Table1[[#This Row],[Total_Children_Under_Care]],0)</f>
        <v>488</v>
      </c>
      <c r="M325" s="5">
        <f t="shared" si="25"/>
        <v>10</v>
      </c>
      <c r="N325" s="5">
        <f>M326-Table1[[#This Row],[Net_Daily_Intake]]</f>
        <v>22</v>
      </c>
      <c r="O325" s="5">
        <f>M326-Table1[[#This Row],[Net_Daily_Intake]]/Table1[[#This Row],[Net_Daily_Intake]]</f>
        <v>31</v>
      </c>
      <c r="P325" t="str">
        <f>IF(Table1[[#This Row],[Change_in_Net_Daily_Intake]]&gt;0,"Sustained Positive","Negative")</f>
        <v>Sustained Positive</v>
      </c>
      <c r="Q325" s="1">
        <f>(Table1[[#This Row],[Total_System_Load]]-Table1[[#This Row],[Total_Children_Under_Care]])/Table1[[#This Row],[Total_Children_Under_Care]]*100</f>
        <v>6.6466902751293926</v>
      </c>
      <c r="R325" s="1">
        <f>(Table1[[#This Row],[Children_discharged _from_HHS_ Care]]/Table1[[#This Row],[Children_transferred_out_of_CBP_custody]])</f>
        <v>0.94011976047904189</v>
      </c>
    </row>
    <row r="326" spans="1:18" x14ac:dyDescent="0.3">
      <c r="A326">
        <v>325</v>
      </c>
      <c r="B326" s="7">
        <v>45426</v>
      </c>
      <c r="C326" s="5">
        <v>246</v>
      </c>
      <c r="D326" s="5">
        <v>419</v>
      </c>
      <c r="E326" s="5">
        <v>218</v>
      </c>
      <c r="F326" s="5">
        <v>7546</v>
      </c>
      <c r="G326" s="5">
        <v>186</v>
      </c>
      <c r="H326" t="str">
        <f t="shared" si="26"/>
        <v>Valid</v>
      </c>
      <c r="I326" t="str">
        <f t="shared" si="27"/>
        <v>Valid</v>
      </c>
      <c r="J326" s="5">
        <f t="shared" si="28"/>
        <v>7360</v>
      </c>
      <c r="K326" s="5">
        <f t="shared" si="29"/>
        <v>7965</v>
      </c>
      <c r="L326" s="5">
        <f>IF(Table1[[#This Row],[Total_System_Load]]&gt;80%*AVERAGE(Table1[Total_System_Load]),Table1[[#This Row],[Total_System_Load]]-Table1[[#This Row],[Total_Children_Under_Care]],0)</f>
        <v>605</v>
      </c>
      <c r="M326" s="5">
        <f t="shared" si="25"/>
        <v>32</v>
      </c>
      <c r="N326" s="5">
        <f>M327-Table1[[#This Row],[Net_Daily_Intake]]</f>
        <v>44</v>
      </c>
      <c r="O326" s="5">
        <f>M327-Table1[[#This Row],[Net_Daily_Intake]]/Table1[[#This Row],[Net_Daily_Intake]]</f>
        <v>75</v>
      </c>
      <c r="P326" t="str">
        <f>IF(Table1[[#This Row],[Change_in_Net_Daily_Intake]]&gt;0,"Sustained Positive","Negative")</f>
        <v>Sustained Positive</v>
      </c>
      <c r="Q326" s="1">
        <f>(Table1[[#This Row],[Total_System_Load]]-Table1[[#This Row],[Total_Children_Under_Care]])/Table1[[#This Row],[Total_Children_Under_Care]]*100</f>
        <v>8.2201086956521738</v>
      </c>
      <c r="R326" s="1">
        <f>(Table1[[#This Row],[Children_discharged _from_HHS_ Care]]/Table1[[#This Row],[Children_transferred_out_of_CBP_custody]])</f>
        <v>0.85321100917431192</v>
      </c>
    </row>
    <row r="327" spans="1:18" x14ac:dyDescent="0.3">
      <c r="A327">
        <v>326</v>
      </c>
      <c r="B327" s="7">
        <v>45427</v>
      </c>
      <c r="C327" s="5">
        <v>115</v>
      </c>
      <c r="D327" s="5">
        <v>285</v>
      </c>
      <c r="E327" s="5">
        <v>341</v>
      </c>
      <c r="F327" s="5">
        <v>7589</v>
      </c>
      <c r="G327" s="5">
        <v>265</v>
      </c>
      <c r="H327" t="str">
        <f t="shared" si="26"/>
        <v>Invalid</v>
      </c>
      <c r="I327" t="str">
        <f t="shared" si="27"/>
        <v>Valid</v>
      </c>
      <c r="J327" s="5">
        <f t="shared" si="28"/>
        <v>7324</v>
      </c>
      <c r="K327" s="5">
        <f t="shared" si="29"/>
        <v>7874</v>
      </c>
      <c r="L327" s="5">
        <f>IF(Table1[[#This Row],[Total_System_Load]]&gt;80%*AVERAGE(Table1[Total_System_Load]),Table1[[#This Row],[Total_System_Load]]-Table1[[#This Row],[Total_Children_Under_Care]],0)</f>
        <v>550</v>
      </c>
      <c r="M327" s="5">
        <f t="shared" si="25"/>
        <v>76</v>
      </c>
      <c r="N327" s="5">
        <f>M328-Table1[[#This Row],[Net_Daily_Intake]]</f>
        <v>-96</v>
      </c>
      <c r="O327" s="5">
        <f>M328-Table1[[#This Row],[Net_Daily_Intake]]/Table1[[#This Row],[Net_Daily_Intake]]</f>
        <v>-21</v>
      </c>
      <c r="P327" t="str">
        <f>IF(Table1[[#This Row],[Change_in_Net_Daily_Intake]]&gt;0,"Sustained Positive","Negative")</f>
        <v>Negative</v>
      </c>
      <c r="Q327" s="1">
        <f>(Table1[[#This Row],[Total_System_Load]]-Table1[[#This Row],[Total_Children_Under_Care]])/Table1[[#This Row],[Total_Children_Under_Care]]*100</f>
        <v>7.5095576187875475</v>
      </c>
      <c r="R327" s="1">
        <f>(Table1[[#This Row],[Children_discharged _from_HHS_ Care]]/Table1[[#This Row],[Children_transferred_out_of_CBP_custody]])</f>
        <v>0.77712609970674484</v>
      </c>
    </row>
    <row r="328" spans="1:18" x14ac:dyDescent="0.3">
      <c r="A328">
        <v>327</v>
      </c>
      <c r="B328" s="7">
        <v>45428</v>
      </c>
      <c r="C328" s="5">
        <v>206</v>
      </c>
      <c r="D328" s="5">
        <v>340</v>
      </c>
      <c r="E328" s="5">
        <v>214</v>
      </c>
      <c r="F328" s="5">
        <v>7565</v>
      </c>
      <c r="G328" s="5">
        <v>234</v>
      </c>
      <c r="H328" t="str">
        <f t="shared" si="26"/>
        <v>Valid</v>
      </c>
      <c r="I328" t="str">
        <f t="shared" si="27"/>
        <v>Valid</v>
      </c>
      <c r="J328" s="5">
        <f t="shared" si="28"/>
        <v>7331</v>
      </c>
      <c r="K328" s="5">
        <f t="shared" si="29"/>
        <v>7905</v>
      </c>
      <c r="L328" s="5">
        <f>IF(Table1[[#This Row],[Total_System_Load]]&gt;80%*AVERAGE(Table1[Total_System_Load]),Table1[[#This Row],[Total_System_Load]]-Table1[[#This Row],[Total_Children_Under_Care]],0)</f>
        <v>574</v>
      </c>
      <c r="M328" s="5">
        <f t="shared" si="25"/>
        <v>-20</v>
      </c>
      <c r="N328" s="5">
        <f>M329-Table1[[#This Row],[Net_Daily_Intake]]</f>
        <v>0</v>
      </c>
      <c r="O328" s="5">
        <f>M329-Table1[[#This Row],[Net_Daily_Intake]]/Table1[[#This Row],[Net_Daily_Intake]]</f>
        <v>-21</v>
      </c>
      <c r="P328" t="str">
        <f>IF(Table1[[#This Row],[Change_in_Net_Daily_Intake]]&gt;0,"Sustained Positive","Negative")</f>
        <v>Negative</v>
      </c>
      <c r="Q328" s="1">
        <f>(Table1[[#This Row],[Total_System_Load]]-Table1[[#This Row],[Total_Children_Under_Care]])/Table1[[#This Row],[Total_Children_Under_Care]]*100</f>
        <v>7.8297640158232165</v>
      </c>
      <c r="R328" s="1">
        <f>(Table1[[#This Row],[Children_discharged _from_HHS_ Care]]/Table1[[#This Row],[Children_transferred_out_of_CBP_custody]])</f>
        <v>1.0934579439252337</v>
      </c>
    </row>
    <row r="329" spans="1:18" x14ac:dyDescent="0.3">
      <c r="A329">
        <v>328</v>
      </c>
      <c r="B329" s="7">
        <v>45431</v>
      </c>
      <c r="C329" s="5">
        <v>143</v>
      </c>
      <c r="D329" s="5">
        <v>295</v>
      </c>
      <c r="E329" s="5">
        <v>278</v>
      </c>
      <c r="F329" s="5">
        <v>7356</v>
      </c>
      <c r="G329" s="5">
        <v>298</v>
      </c>
      <c r="H329" t="str">
        <f t="shared" si="26"/>
        <v>Valid</v>
      </c>
      <c r="I329" t="str">
        <f t="shared" si="27"/>
        <v>Valid</v>
      </c>
      <c r="J329" s="5">
        <f t="shared" si="28"/>
        <v>7058</v>
      </c>
      <c r="K329" s="5">
        <f t="shared" si="29"/>
        <v>7651</v>
      </c>
      <c r="L329" s="5">
        <f>IF(Table1[[#This Row],[Total_System_Load]]&gt;80%*AVERAGE(Table1[Total_System_Load]),Table1[[#This Row],[Total_System_Load]]-Table1[[#This Row],[Total_Children_Under_Care]],0)</f>
        <v>593</v>
      </c>
      <c r="M329" s="5">
        <f t="shared" si="25"/>
        <v>-20</v>
      </c>
      <c r="N329" s="5">
        <f>M330-Table1[[#This Row],[Net_Daily_Intake]]</f>
        <v>45</v>
      </c>
      <c r="O329" s="5">
        <f>M330-Table1[[#This Row],[Net_Daily_Intake]]/Table1[[#This Row],[Net_Daily_Intake]]</f>
        <v>24</v>
      </c>
      <c r="P329" t="str">
        <f>IF(Table1[[#This Row],[Change_in_Net_Daily_Intake]]&gt;0,"Sustained Positive","Negative")</f>
        <v>Sustained Positive</v>
      </c>
      <c r="Q329" s="1">
        <f>(Table1[[#This Row],[Total_System_Load]]-Table1[[#This Row],[Total_Children_Under_Care]])/Table1[[#This Row],[Total_Children_Under_Care]]*100</f>
        <v>8.4018135449135745</v>
      </c>
      <c r="R329" s="1">
        <f>(Table1[[#This Row],[Children_discharged _from_HHS_ Care]]/Table1[[#This Row],[Children_transferred_out_of_CBP_custody]])</f>
        <v>1.0719424460431655</v>
      </c>
    </row>
    <row r="330" spans="1:18" x14ac:dyDescent="0.3">
      <c r="A330">
        <v>329</v>
      </c>
      <c r="B330" s="7">
        <v>45432</v>
      </c>
      <c r="C330" s="5">
        <v>111</v>
      </c>
      <c r="D330" s="5">
        <v>268</v>
      </c>
      <c r="E330" s="5">
        <v>217</v>
      </c>
      <c r="F330" s="5">
        <v>7368</v>
      </c>
      <c r="G330" s="5">
        <v>192</v>
      </c>
      <c r="H330" t="str">
        <f t="shared" si="26"/>
        <v>Valid</v>
      </c>
      <c r="I330" t="str">
        <f t="shared" si="27"/>
        <v>Valid</v>
      </c>
      <c r="J330" s="5">
        <f t="shared" si="28"/>
        <v>7176</v>
      </c>
      <c r="K330" s="5">
        <f t="shared" si="29"/>
        <v>7636</v>
      </c>
      <c r="L330" s="5">
        <f>IF(Table1[[#This Row],[Total_System_Load]]&gt;80%*AVERAGE(Table1[Total_System_Load]),Table1[[#This Row],[Total_System_Load]]-Table1[[#This Row],[Total_Children_Under_Care]],0)</f>
        <v>460</v>
      </c>
      <c r="M330" s="5">
        <f t="shared" si="25"/>
        <v>25</v>
      </c>
      <c r="N330" s="5">
        <f>M331-Table1[[#This Row],[Net_Daily_Intake]]</f>
        <v>6</v>
      </c>
      <c r="O330" s="5">
        <f>M331-Table1[[#This Row],[Net_Daily_Intake]]/Table1[[#This Row],[Net_Daily_Intake]]</f>
        <v>30</v>
      </c>
      <c r="P330" t="str">
        <f>IF(Table1[[#This Row],[Change_in_Net_Daily_Intake]]&gt;0,"Sustained Positive","Negative")</f>
        <v>Sustained Positive</v>
      </c>
      <c r="Q330" s="1">
        <f>(Table1[[#This Row],[Total_System_Load]]-Table1[[#This Row],[Total_Children_Under_Care]])/Table1[[#This Row],[Total_Children_Under_Care]]*100</f>
        <v>6.4102564102564097</v>
      </c>
      <c r="R330" s="1">
        <f>(Table1[[#This Row],[Children_discharged _from_HHS_ Care]]/Table1[[#This Row],[Children_transferred_out_of_CBP_custody]])</f>
        <v>0.88479262672811065</v>
      </c>
    </row>
    <row r="331" spans="1:18" x14ac:dyDescent="0.3">
      <c r="A331">
        <v>330</v>
      </c>
      <c r="B331" s="7">
        <v>45433</v>
      </c>
      <c r="C331" s="5">
        <v>196</v>
      </c>
      <c r="D331" s="5">
        <v>348</v>
      </c>
      <c r="E331" s="5">
        <v>176</v>
      </c>
      <c r="F331" s="5">
        <v>7404</v>
      </c>
      <c r="G331" s="5">
        <v>145</v>
      </c>
      <c r="H331" t="str">
        <f t="shared" si="26"/>
        <v>Valid</v>
      </c>
      <c r="I331" t="str">
        <f t="shared" si="27"/>
        <v>Valid</v>
      </c>
      <c r="J331" s="5">
        <f t="shared" si="28"/>
        <v>7259</v>
      </c>
      <c r="K331" s="5">
        <f t="shared" si="29"/>
        <v>7752</v>
      </c>
      <c r="L331" s="5">
        <f>IF(Table1[[#This Row],[Total_System_Load]]&gt;80%*AVERAGE(Table1[Total_System_Load]),Table1[[#This Row],[Total_System_Load]]-Table1[[#This Row],[Total_Children_Under_Care]],0)</f>
        <v>493</v>
      </c>
      <c r="M331" s="5">
        <f t="shared" si="25"/>
        <v>31</v>
      </c>
      <c r="N331" s="5">
        <f>M332-Table1[[#This Row],[Net_Daily_Intake]]</f>
        <v>33</v>
      </c>
      <c r="O331" s="5">
        <f>M332-Table1[[#This Row],[Net_Daily_Intake]]/Table1[[#This Row],[Net_Daily_Intake]]</f>
        <v>63</v>
      </c>
      <c r="P331" t="str">
        <f>IF(Table1[[#This Row],[Change_in_Net_Daily_Intake]]&gt;0,"Sustained Positive","Negative")</f>
        <v>Sustained Positive</v>
      </c>
      <c r="Q331" s="1">
        <f>(Table1[[#This Row],[Total_System_Load]]-Table1[[#This Row],[Total_Children_Under_Care]])/Table1[[#This Row],[Total_Children_Under_Care]]*100</f>
        <v>6.7915690866510543</v>
      </c>
      <c r="R331" s="1">
        <f>(Table1[[#This Row],[Children_discharged _from_HHS_ Care]]/Table1[[#This Row],[Children_transferred_out_of_CBP_custody]])</f>
        <v>0.82386363636363635</v>
      </c>
    </row>
    <row r="332" spans="1:18" x14ac:dyDescent="0.3">
      <c r="A332">
        <v>331</v>
      </c>
      <c r="B332" s="7">
        <v>45434</v>
      </c>
      <c r="C332" s="5">
        <v>168</v>
      </c>
      <c r="D332" s="5">
        <v>349</v>
      </c>
      <c r="E332" s="5">
        <v>272</v>
      </c>
      <c r="F332" s="5">
        <v>7474</v>
      </c>
      <c r="G332" s="5">
        <v>208</v>
      </c>
      <c r="H332" t="str">
        <f t="shared" si="26"/>
        <v>Valid</v>
      </c>
      <c r="I332" t="str">
        <f t="shared" si="27"/>
        <v>Valid</v>
      </c>
      <c r="J332" s="5">
        <f t="shared" si="28"/>
        <v>7266</v>
      </c>
      <c r="K332" s="5">
        <f t="shared" si="29"/>
        <v>7823</v>
      </c>
      <c r="L332" s="5">
        <f>IF(Table1[[#This Row],[Total_System_Load]]&gt;80%*AVERAGE(Table1[Total_System_Load]),Table1[[#This Row],[Total_System_Load]]-Table1[[#This Row],[Total_Children_Under_Care]],0)</f>
        <v>557</v>
      </c>
      <c r="M332" s="5">
        <f t="shared" si="25"/>
        <v>64</v>
      </c>
      <c r="N332" s="5">
        <f>M333-Table1[[#This Row],[Net_Daily_Intake]]</f>
        <v>23</v>
      </c>
      <c r="O332" s="5">
        <f>M333-Table1[[#This Row],[Net_Daily_Intake]]/Table1[[#This Row],[Net_Daily_Intake]]</f>
        <v>86</v>
      </c>
      <c r="P332" t="str">
        <f>IF(Table1[[#This Row],[Change_in_Net_Daily_Intake]]&gt;0,"Sustained Positive","Negative")</f>
        <v>Sustained Positive</v>
      </c>
      <c r="Q332" s="1">
        <f>(Table1[[#This Row],[Total_System_Load]]-Table1[[#This Row],[Total_Children_Under_Care]])/Table1[[#This Row],[Total_Children_Under_Care]]*100</f>
        <v>7.6658409028351224</v>
      </c>
      <c r="R332" s="1">
        <f>(Table1[[#This Row],[Children_discharged _from_HHS_ Care]]/Table1[[#This Row],[Children_transferred_out_of_CBP_custody]])</f>
        <v>0.76470588235294112</v>
      </c>
    </row>
    <row r="333" spans="1:18" x14ac:dyDescent="0.3">
      <c r="A333">
        <v>332</v>
      </c>
      <c r="B333" s="7">
        <v>45435</v>
      </c>
      <c r="C333" s="5">
        <v>193</v>
      </c>
      <c r="D333" s="5">
        <v>272</v>
      </c>
      <c r="E333" s="5">
        <v>314</v>
      </c>
      <c r="F333" s="5">
        <v>7494</v>
      </c>
      <c r="G333" s="5">
        <v>227</v>
      </c>
      <c r="H333" t="str">
        <f t="shared" si="26"/>
        <v>Invalid</v>
      </c>
      <c r="I333" t="str">
        <f t="shared" si="27"/>
        <v>Valid</v>
      </c>
      <c r="J333" s="5">
        <f t="shared" si="28"/>
        <v>7267</v>
      </c>
      <c r="K333" s="5">
        <f t="shared" si="29"/>
        <v>7766</v>
      </c>
      <c r="L333" s="5">
        <f>IF(Table1[[#This Row],[Total_System_Load]]&gt;80%*AVERAGE(Table1[Total_System_Load]),Table1[[#This Row],[Total_System_Load]]-Table1[[#This Row],[Total_Children_Under_Care]],0)</f>
        <v>499</v>
      </c>
      <c r="M333" s="5">
        <f t="shared" si="25"/>
        <v>87</v>
      </c>
      <c r="N333" s="5">
        <f>M334-Table1[[#This Row],[Net_Daily_Intake]]</f>
        <v>-2</v>
      </c>
      <c r="O333" s="5">
        <f>M334-Table1[[#This Row],[Net_Daily_Intake]]/Table1[[#This Row],[Net_Daily_Intake]]</f>
        <v>84</v>
      </c>
      <c r="P333" t="str">
        <f>IF(Table1[[#This Row],[Change_in_Net_Daily_Intake]]&gt;0,"Sustained Positive","Negative")</f>
        <v>Negative</v>
      </c>
      <c r="Q333" s="1">
        <f>(Table1[[#This Row],[Total_System_Load]]-Table1[[#This Row],[Total_Children_Under_Care]])/Table1[[#This Row],[Total_Children_Under_Care]]*100</f>
        <v>6.8666574927755599</v>
      </c>
      <c r="R333" s="1">
        <f>(Table1[[#This Row],[Children_discharged _from_HHS_ Care]]/Table1[[#This Row],[Children_transferred_out_of_CBP_custody]])</f>
        <v>0.72292993630573243</v>
      </c>
    </row>
    <row r="334" spans="1:18" x14ac:dyDescent="0.3">
      <c r="A334">
        <v>333</v>
      </c>
      <c r="B334" s="7">
        <v>45439</v>
      </c>
      <c r="C334" s="5">
        <v>156</v>
      </c>
      <c r="D334" s="5">
        <v>344</v>
      </c>
      <c r="E334" s="5">
        <v>252</v>
      </c>
      <c r="F334" s="5">
        <v>7365</v>
      </c>
      <c r="G334" s="5">
        <v>167</v>
      </c>
      <c r="H334" t="str">
        <f t="shared" si="26"/>
        <v>Valid</v>
      </c>
      <c r="I334" t="str">
        <f t="shared" si="27"/>
        <v>Valid</v>
      </c>
      <c r="J334" s="5">
        <f t="shared" si="28"/>
        <v>7198</v>
      </c>
      <c r="K334" s="5">
        <f t="shared" si="29"/>
        <v>7709</v>
      </c>
      <c r="L334" s="5">
        <f>IF(Table1[[#This Row],[Total_System_Load]]&gt;80%*AVERAGE(Table1[Total_System_Load]),Table1[[#This Row],[Total_System_Load]]-Table1[[#This Row],[Total_Children_Under_Care]],0)</f>
        <v>511</v>
      </c>
      <c r="M334" s="5">
        <f t="shared" si="25"/>
        <v>85</v>
      </c>
      <c r="N334" s="5">
        <f>M335-Table1[[#This Row],[Net_Daily_Intake]]</f>
        <v>3</v>
      </c>
      <c r="O334" s="5">
        <f>M335-Table1[[#This Row],[Net_Daily_Intake]]/Table1[[#This Row],[Net_Daily_Intake]]</f>
        <v>87</v>
      </c>
      <c r="P334" t="str">
        <f>IF(Table1[[#This Row],[Change_in_Net_Daily_Intake]]&gt;0,"Sustained Positive","Negative")</f>
        <v>Sustained Positive</v>
      </c>
      <c r="Q334" s="1">
        <f>(Table1[[#This Row],[Total_System_Load]]-Table1[[#This Row],[Total_Children_Under_Care]])/Table1[[#This Row],[Total_Children_Under_Care]]*100</f>
        <v>7.0991942206168375</v>
      </c>
      <c r="R334" s="1">
        <f>(Table1[[#This Row],[Children_discharged _from_HHS_ Care]]/Table1[[#This Row],[Children_transferred_out_of_CBP_custody]])</f>
        <v>0.66269841269841268</v>
      </c>
    </row>
    <row r="335" spans="1:18" x14ac:dyDescent="0.3">
      <c r="A335">
        <v>334</v>
      </c>
      <c r="B335" s="7">
        <v>45440</v>
      </c>
      <c r="C335" s="5">
        <v>153</v>
      </c>
      <c r="D335" s="5">
        <v>348</v>
      </c>
      <c r="E335" s="5">
        <v>239</v>
      </c>
      <c r="F335" s="5">
        <v>7418</v>
      </c>
      <c r="G335" s="5">
        <v>151</v>
      </c>
      <c r="H335" t="str">
        <f t="shared" si="26"/>
        <v>Valid</v>
      </c>
      <c r="I335" t="str">
        <f t="shared" si="27"/>
        <v>Valid</v>
      </c>
      <c r="J335" s="5">
        <f t="shared" si="28"/>
        <v>7267</v>
      </c>
      <c r="K335" s="5">
        <f t="shared" si="29"/>
        <v>7766</v>
      </c>
      <c r="L335" s="5">
        <f>IF(Table1[[#This Row],[Total_System_Load]]&gt;80%*AVERAGE(Table1[Total_System_Load]),Table1[[#This Row],[Total_System_Load]]-Table1[[#This Row],[Total_Children_Under_Care]],0)</f>
        <v>499</v>
      </c>
      <c r="M335" s="5">
        <f t="shared" si="25"/>
        <v>88</v>
      </c>
      <c r="N335" s="5">
        <f>M336-Table1[[#This Row],[Net_Daily_Intake]]</f>
        <v>-71</v>
      </c>
      <c r="O335" s="5">
        <f>M336-Table1[[#This Row],[Net_Daily_Intake]]/Table1[[#This Row],[Net_Daily_Intake]]</f>
        <v>16</v>
      </c>
      <c r="P335" t="str">
        <f>IF(Table1[[#This Row],[Change_in_Net_Daily_Intake]]&gt;0,"Sustained Positive","Negative")</f>
        <v>Negative</v>
      </c>
      <c r="Q335" s="1">
        <f>(Table1[[#This Row],[Total_System_Load]]-Table1[[#This Row],[Total_Children_Under_Care]])/Table1[[#This Row],[Total_Children_Under_Care]]*100</f>
        <v>6.8666574927755599</v>
      </c>
      <c r="R335" s="1">
        <f>(Table1[[#This Row],[Children_discharged _from_HHS_ Care]]/Table1[[#This Row],[Children_transferred_out_of_CBP_custody]])</f>
        <v>0.63179916317991636</v>
      </c>
    </row>
    <row r="336" spans="1:18" x14ac:dyDescent="0.3">
      <c r="A336">
        <v>335</v>
      </c>
      <c r="B336" s="7">
        <v>45441</v>
      </c>
      <c r="C336" s="5">
        <v>182</v>
      </c>
      <c r="D336" s="5">
        <v>462</v>
      </c>
      <c r="E336" s="5">
        <v>158</v>
      </c>
      <c r="F336" s="5">
        <v>7491</v>
      </c>
      <c r="G336" s="5">
        <v>141</v>
      </c>
      <c r="H336" t="str">
        <f t="shared" si="26"/>
        <v>Valid</v>
      </c>
      <c r="I336" t="str">
        <f t="shared" si="27"/>
        <v>Valid</v>
      </c>
      <c r="J336" s="5">
        <f t="shared" si="28"/>
        <v>7350</v>
      </c>
      <c r="K336" s="5">
        <f t="shared" si="29"/>
        <v>7953</v>
      </c>
      <c r="L336" s="5">
        <f>IF(Table1[[#This Row],[Total_System_Load]]&gt;80%*AVERAGE(Table1[Total_System_Load]),Table1[[#This Row],[Total_System_Load]]-Table1[[#This Row],[Total_Children_Under_Care]],0)</f>
        <v>603</v>
      </c>
      <c r="M336" s="5">
        <f t="shared" si="25"/>
        <v>17</v>
      </c>
      <c r="N336" s="5">
        <f>M337-Table1[[#This Row],[Net_Daily_Intake]]</f>
        <v>132</v>
      </c>
      <c r="O336" s="5">
        <f>M337-Table1[[#This Row],[Net_Daily_Intake]]/Table1[[#This Row],[Net_Daily_Intake]]</f>
        <v>148</v>
      </c>
      <c r="P336" t="str">
        <f>IF(Table1[[#This Row],[Change_in_Net_Daily_Intake]]&gt;0,"Sustained Positive","Negative")</f>
        <v>Sustained Positive</v>
      </c>
      <c r="Q336" s="1">
        <f>(Table1[[#This Row],[Total_System_Load]]-Table1[[#This Row],[Total_Children_Under_Care]])/Table1[[#This Row],[Total_Children_Under_Care]]*100</f>
        <v>8.204081632653061</v>
      </c>
      <c r="R336" s="1">
        <f>(Table1[[#This Row],[Children_discharged _from_HHS_ Care]]/Table1[[#This Row],[Children_transferred_out_of_CBP_custody]])</f>
        <v>0.89240506329113922</v>
      </c>
    </row>
    <row r="337" spans="1:18" x14ac:dyDescent="0.3">
      <c r="A337">
        <v>336</v>
      </c>
      <c r="B337" s="7">
        <v>45442</v>
      </c>
      <c r="C337" s="5">
        <v>167</v>
      </c>
      <c r="D337" s="5">
        <v>406</v>
      </c>
      <c r="E337" s="5">
        <v>339</v>
      </c>
      <c r="F337" s="5">
        <v>7563</v>
      </c>
      <c r="G337" s="5">
        <v>190</v>
      </c>
      <c r="H337" t="str">
        <f t="shared" si="26"/>
        <v>Valid</v>
      </c>
      <c r="I337" t="str">
        <f t="shared" si="27"/>
        <v>Valid</v>
      </c>
      <c r="J337" s="5">
        <f t="shared" si="28"/>
        <v>7373</v>
      </c>
      <c r="K337" s="5">
        <f t="shared" si="29"/>
        <v>7969</v>
      </c>
      <c r="L337" s="5">
        <f>IF(Table1[[#This Row],[Total_System_Load]]&gt;80%*AVERAGE(Table1[Total_System_Load]),Table1[[#This Row],[Total_System_Load]]-Table1[[#This Row],[Total_Children_Under_Care]],0)</f>
        <v>596</v>
      </c>
      <c r="M337" s="5">
        <f t="shared" si="25"/>
        <v>149</v>
      </c>
      <c r="N337" s="5">
        <f>M338-Table1[[#This Row],[Net_Daily_Intake]]</f>
        <v>-133</v>
      </c>
      <c r="O337" s="5">
        <f>M338-Table1[[#This Row],[Net_Daily_Intake]]/Table1[[#This Row],[Net_Daily_Intake]]</f>
        <v>15</v>
      </c>
      <c r="P337" t="str">
        <f>IF(Table1[[#This Row],[Change_in_Net_Daily_Intake]]&gt;0,"Sustained Positive","Negative")</f>
        <v>Negative</v>
      </c>
      <c r="Q337" s="1">
        <f>(Table1[[#This Row],[Total_System_Load]]-Table1[[#This Row],[Total_Children_Under_Care]])/Table1[[#This Row],[Total_Children_Under_Care]]*100</f>
        <v>8.0835480808354809</v>
      </c>
      <c r="R337" s="1">
        <f>(Table1[[#This Row],[Children_discharged _from_HHS_ Care]]/Table1[[#This Row],[Children_transferred_out_of_CBP_custody]])</f>
        <v>0.56047197640117996</v>
      </c>
    </row>
    <row r="338" spans="1:18" x14ac:dyDescent="0.3">
      <c r="A338">
        <v>337</v>
      </c>
      <c r="B338" s="7">
        <v>45445</v>
      </c>
      <c r="C338" s="5">
        <v>159</v>
      </c>
      <c r="D338" s="5">
        <v>330</v>
      </c>
      <c r="E338" s="5">
        <v>322</v>
      </c>
      <c r="F338" s="5">
        <v>7546</v>
      </c>
      <c r="G338" s="5">
        <v>306</v>
      </c>
      <c r="H338" t="str">
        <f t="shared" si="26"/>
        <v>Valid</v>
      </c>
      <c r="I338" t="str">
        <f t="shared" si="27"/>
        <v>Valid</v>
      </c>
      <c r="J338" s="5">
        <f t="shared" si="28"/>
        <v>7240</v>
      </c>
      <c r="K338" s="5">
        <f t="shared" si="29"/>
        <v>7876</v>
      </c>
      <c r="L338" s="5">
        <f>IF(Table1[[#This Row],[Total_System_Load]]&gt;80%*AVERAGE(Table1[Total_System_Load]),Table1[[#This Row],[Total_System_Load]]-Table1[[#This Row],[Total_Children_Under_Care]],0)</f>
        <v>636</v>
      </c>
      <c r="M338" s="5">
        <f t="shared" si="25"/>
        <v>16</v>
      </c>
      <c r="N338" s="5">
        <f>M339-Table1[[#This Row],[Net_Daily_Intake]]</f>
        <v>17</v>
      </c>
      <c r="O338" s="5">
        <f>M339-Table1[[#This Row],[Net_Daily_Intake]]/Table1[[#This Row],[Net_Daily_Intake]]</f>
        <v>32</v>
      </c>
      <c r="P338" t="str">
        <f>IF(Table1[[#This Row],[Change_in_Net_Daily_Intake]]&gt;0,"Sustained Positive","Negative")</f>
        <v>Sustained Positive</v>
      </c>
      <c r="Q338" s="1">
        <f>(Table1[[#This Row],[Total_System_Load]]-Table1[[#This Row],[Total_Children_Under_Care]])/Table1[[#This Row],[Total_Children_Under_Care]]*100</f>
        <v>8.7845303867403324</v>
      </c>
      <c r="R338" s="1">
        <f>(Table1[[#This Row],[Children_discharged _from_HHS_ Care]]/Table1[[#This Row],[Children_transferred_out_of_CBP_custody]])</f>
        <v>0.9503105590062112</v>
      </c>
    </row>
    <row r="339" spans="1:18" x14ac:dyDescent="0.3">
      <c r="A339">
        <v>338</v>
      </c>
      <c r="B339" s="7">
        <v>45446</v>
      </c>
      <c r="C339" s="5">
        <v>109</v>
      </c>
      <c r="D339" s="5">
        <v>244</v>
      </c>
      <c r="E339" s="5">
        <v>257</v>
      </c>
      <c r="F339" s="5">
        <v>7596</v>
      </c>
      <c r="G339" s="5">
        <v>224</v>
      </c>
      <c r="H339" t="str">
        <f t="shared" si="26"/>
        <v>Invalid</v>
      </c>
      <c r="I339" t="str">
        <f t="shared" si="27"/>
        <v>Valid</v>
      </c>
      <c r="J339" s="5">
        <f t="shared" si="28"/>
        <v>7372</v>
      </c>
      <c r="K339" s="5">
        <f t="shared" si="29"/>
        <v>7840</v>
      </c>
      <c r="L339" s="5">
        <f>IF(Table1[[#This Row],[Total_System_Load]]&gt;80%*AVERAGE(Table1[Total_System_Load]),Table1[[#This Row],[Total_System_Load]]-Table1[[#This Row],[Total_Children_Under_Care]],0)</f>
        <v>468</v>
      </c>
      <c r="M339" s="5">
        <f t="shared" si="25"/>
        <v>33</v>
      </c>
      <c r="N339" s="5">
        <f>M340-Table1[[#This Row],[Net_Daily_Intake]]</f>
        <v>-60</v>
      </c>
      <c r="O339" s="5">
        <f>M340-Table1[[#This Row],[Net_Daily_Intake]]/Table1[[#This Row],[Net_Daily_Intake]]</f>
        <v>-28</v>
      </c>
      <c r="P339" t="str">
        <f>IF(Table1[[#This Row],[Change_in_Net_Daily_Intake]]&gt;0,"Sustained Positive","Negative")</f>
        <v>Negative</v>
      </c>
      <c r="Q339" s="1">
        <f>(Table1[[#This Row],[Total_System_Load]]-Table1[[#This Row],[Total_Children_Under_Care]])/Table1[[#This Row],[Total_Children_Under_Care]]*100</f>
        <v>6.3483450895279434</v>
      </c>
      <c r="R339" s="1">
        <f>(Table1[[#This Row],[Children_discharged _from_HHS_ Care]]/Table1[[#This Row],[Children_transferred_out_of_CBP_custody]])</f>
        <v>0.87159533073929962</v>
      </c>
    </row>
    <row r="340" spans="1:18" x14ac:dyDescent="0.3">
      <c r="A340">
        <v>339</v>
      </c>
      <c r="B340" s="7">
        <v>45447</v>
      </c>
      <c r="C340" s="5">
        <v>260</v>
      </c>
      <c r="D340" s="5">
        <v>356</v>
      </c>
      <c r="E340" s="5">
        <v>176</v>
      </c>
      <c r="F340" s="5">
        <v>7565</v>
      </c>
      <c r="G340" s="5">
        <v>203</v>
      </c>
      <c r="H340" t="str">
        <f t="shared" si="26"/>
        <v>Valid</v>
      </c>
      <c r="I340" t="str">
        <f t="shared" si="27"/>
        <v>Valid</v>
      </c>
      <c r="J340" s="5">
        <f t="shared" si="28"/>
        <v>7362</v>
      </c>
      <c r="K340" s="5">
        <f t="shared" si="29"/>
        <v>7921</v>
      </c>
      <c r="L340" s="5">
        <f>IF(Table1[[#This Row],[Total_System_Load]]&gt;80%*AVERAGE(Table1[Total_System_Load]),Table1[[#This Row],[Total_System_Load]]-Table1[[#This Row],[Total_Children_Under_Care]],0)</f>
        <v>559</v>
      </c>
      <c r="M340" s="5">
        <f t="shared" si="25"/>
        <v>-27</v>
      </c>
      <c r="N340" s="5">
        <f>M341-Table1[[#This Row],[Net_Daily_Intake]]</f>
        <v>120</v>
      </c>
      <c r="O340" s="5">
        <f>M341-Table1[[#This Row],[Net_Daily_Intake]]/Table1[[#This Row],[Net_Daily_Intake]]</f>
        <v>92</v>
      </c>
      <c r="P340" t="str">
        <f>IF(Table1[[#This Row],[Change_in_Net_Daily_Intake]]&gt;0,"Sustained Positive","Negative")</f>
        <v>Sustained Positive</v>
      </c>
      <c r="Q340" s="1">
        <f>(Table1[[#This Row],[Total_System_Load]]-Table1[[#This Row],[Total_Children_Under_Care]])/Table1[[#This Row],[Total_Children_Under_Care]]*100</f>
        <v>7.593045368106492</v>
      </c>
      <c r="R340" s="1">
        <f>(Table1[[#This Row],[Children_discharged _from_HHS_ Care]]/Table1[[#This Row],[Children_transferred_out_of_CBP_custody]])</f>
        <v>1.1534090909090908</v>
      </c>
    </row>
    <row r="341" spans="1:18" x14ac:dyDescent="0.3">
      <c r="A341">
        <v>340</v>
      </c>
      <c r="B341" s="7">
        <v>45448</v>
      </c>
      <c r="C341" s="5">
        <v>173</v>
      </c>
      <c r="D341" s="5">
        <v>345</v>
      </c>
      <c r="E341" s="5">
        <v>291</v>
      </c>
      <c r="F341" s="5">
        <v>7691</v>
      </c>
      <c r="G341" s="5">
        <v>198</v>
      </c>
      <c r="H341" t="str">
        <f t="shared" si="26"/>
        <v>Valid</v>
      </c>
      <c r="I341" t="str">
        <f t="shared" si="27"/>
        <v>Valid</v>
      </c>
      <c r="J341" s="5">
        <f t="shared" si="28"/>
        <v>7493</v>
      </c>
      <c r="K341" s="5">
        <f t="shared" si="29"/>
        <v>8036</v>
      </c>
      <c r="L341" s="5">
        <f>IF(Table1[[#This Row],[Total_System_Load]]&gt;80%*AVERAGE(Table1[Total_System_Load]),Table1[[#This Row],[Total_System_Load]]-Table1[[#This Row],[Total_Children_Under_Care]],0)</f>
        <v>543</v>
      </c>
      <c r="M341" s="5">
        <f t="shared" si="25"/>
        <v>93</v>
      </c>
      <c r="N341" s="5">
        <f>M342-Table1[[#This Row],[Net_Daily_Intake]]</f>
        <v>-49</v>
      </c>
      <c r="O341" s="5">
        <f>M342-Table1[[#This Row],[Net_Daily_Intake]]/Table1[[#This Row],[Net_Daily_Intake]]</f>
        <v>43</v>
      </c>
      <c r="P341" t="str">
        <f>IF(Table1[[#This Row],[Change_in_Net_Daily_Intake]]&gt;0,"Sustained Positive","Negative")</f>
        <v>Negative</v>
      </c>
      <c r="Q341" s="1">
        <f>(Table1[[#This Row],[Total_System_Load]]-Table1[[#This Row],[Total_Children_Under_Care]])/Table1[[#This Row],[Total_Children_Under_Care]]*100</f>
        <v>7.2467636460696649</v>
      </c>
      <c r="R341" s="1">
        <f>(Table1[[#This Row],[Children_discharged _from_HHS_ Care]]/Table1[[#This Row],[Children_transferred_out_of_CBP_custody]])</f>
        <v>0.68041237113402064</v>
      </c>
    </row>
    <row r="342" spans="1:18" x14ac:dyDescent="0.3">
      <c r="A342">
        <v>341</v>
      </c>
      <c r="B342" s="7">
        <v>45449</v>
      </c>
      <c r="C342" s="5">
        <v>179</v>
      </c>
      <c r="D342" s="5">
        <v>326</v>
      </c>
      <c r="E342" s="5">
        <v>282</v>
      </c>
      <c r="F342" s="5">
        <v>7741</v>
      </c>
      <c r="G342" s="5">
        <v>238</v>
      </c>
      <c r="H342" t="str">
        <f t="shared" si="26"/>
        <v>Valid</v>
      </c>
      <c r="I342" t="str">
        <f t="shared" si="27"/>
        <v>Valid</v>
      </c>
      <c r="J342" s="5">
        <f t="shared" si="28"/>
        <v>7503</v>
      </c>
      <c r="K342" s="5">
        <f t="shared" si="29"/>
        <v>8067</v>
      </c>
      <c r="L342" s="5">
        <f>IF(Table1[[#This Row],[Total_System_Load]]&gt;80%*AVERAGE(Table1[Total_System_Load]),Table1[[#This Row],[Total_System_Load]]-Table1[[#This Row],[Total_Children_Under_Care]],0)</f>
        <v>564</v>
      </c>
      <c r="M342" s="5">
        <f t="shared" si="25"/>
        <v>44</v>
      </c>
      <c r="N342" s="5">
        <f>M343-Table1[[#This Row],[Net_Daily_Intake]]</f>
        <v>-190</v>
      </c>
      <c r="O342" s="5">
        <f>M343-Table1[[#This Row],[Net_Daily_Intake]]/Table1[[#This Row],[Net_Daily_Intake]]</f>
        <v>-147</v>
      </c>
      <c r="P342" t="str">
        <f>IF(Table1[[#This Row],[Change_in_Net_Daily_Intake]]&gt;0,"Sustained Positive","Negative")</f>
        <v>Negative</v>
      </c>
      <c r="Q342" s="1">
        <f>(Table1[[#This Row],[Total_System_Load]]-Table1[[#This Row],[Total_Children_Under_Care]])/Table1[[#This Row],[Total_Children_Under_Care]]*100</f>
        <v>7.5169932027189121</v>
      </c>
      <c r="R342" s="1">
        <f>(Table1[[#This Row],[Children_discharged _from_HHS_ Care]]/Table1[[#This Row],[Children_transferred_out_of_CBP_custody]])</f>
        <v>0.84397163120567376</v>
      </c>
    </row>
    <row r="343" spans="1:18" x14ac:dyDescent="0.3">
      <c r="A343">
        <v>342</v>
      </c>
      <c r="B343" s="7">
        <v>45452</v>
      </c>
      <c r="C343" s="5">
        <v>116</v>
      </c>
      <c r="D343" s="5">
        <v>289</v>
      </c>
      <c r="E343" s="5">
        <v>166</v>
      </c>
      <c r="F343" s="5">
        <v>7451</v>
      </c>
      <c r="G343" s="5">
        <v>312</v>
      </c>
      <c r="H343" t="str">
        <f t="shared" si="26"/>
        <v>Valid</v>
      </c>
      <c r="I343" t="str">
        <f t="shared" si="27"/>
        <v>Valid</v>
      </c>
      <c r="J343" s="5">
        <f t="shared" si="28"/>
        <v>7139</v>
      </c>
      <c r="K343" s="5">
        <f t="shared" si="29"/>
        <v>7740</v>
      </c>
      <c r="L343" s="5">
        <f>IF(Table1[[#This Row],[Total_System_Load]]&gt;80%*AVERAGE(Table1[Total_System_Load]),Table1[[#This Row],[Total_System_Load]]-Table1[[#This Row],[Total_Children_Under_Care]],0)</f>
        <v>601</v>
      </c>
      <c r="M343" s="5">
        <f t="shared" si="25"/>
        <v>-146</v>
      </c>
      <c r="N343" s="5">
        <f>M344-Table1[[#This Row],[Net_Daily_Intake]]</f>
        <v>163</v>
      </c>
      <c r="O343" s="5">
        <f>M344-Table1[[#This Row],[Net_Daily_Intake]]/Table1[[#This Row],[Net_Daily_Intake]]</f>
        <v>16</v>
      </c>
      <c r="P343" t="str">
        <f>IF(Table1[[#This Row],[Change_in_Net_Daily_Intake]]&gt;0,"Sustained Positive","Negative")</f>
        <v>Sustained Positive</v>
      </c>
      <c r="Q343" s="1">
        <f>(Table1[[#This Row],[Total_System_Load]]-Table1[[#This Row],[Total_Children_Under_Care]])/Table1[[#This Row],[Total_Children_Under_Care]]*100</f>
        <v>8.4185460148480171</v>
      </c>
      <c r="R343" s="1">
        <f>(Table1[[#This Row],[Children_discharged _from_HHS_ Care]]/Table1[[#This Row],[Children_transferred_out_of_CBP_custody]])</f>
        <v>1.8795180722891567</v>
      </c>
    </row>
    <row r="344" spans="1:18" x14ac:dyDescent="0.3">
      <c r="A344">
        <v>343</v>
      </c>
      <c r="B344" s="7">
        <v>45453</v>
      </c>
      <c r="C344" s="5">
        <v>184</v>
      </c>
      <c r="D344" s="5">
        <v>334</v>
      </c>
      <c r="E344" s="5">
        <v>229</v>
      </c>
      <c r="F344" s="5">
        <v>7439</v>
      </c>
      <c r="G344" s="5">
        <v>212</v>
      </c>
      <c r="H344" t="str">
        <f t="shared" si="26"/>
        <v>Valid</v>
      </c>
      <c r="I344" t="str">
        <f t="shared" si="27"/>
        <v>Valid</v>
      </c>
      <c r="J344" s="5">
        <f t="shared" si="28"/>
        <v>7227</v>
      </c>
      <c r="K344" s="5">
        <f t="shared" si="29"/>
        <v>7773</v>
      </c>
      <c r="L344" s="5">
        <f>IF(Table1[[#This Row],[Total_System_Load]]&gt;80%*AVERAGE(Table1[Total_System_Load]),Table1[[#This Row],[Total_System_Load]]-Table1[[#This Row],[Total_Children_Under_Care]],0)</f>
        <v>546</v>
      </c>
      <c r="M344" s="5">
        <f t="shared" si="25"/>
        <v>17</v>
      </c>
      <c r="N344" s="5">
        <f>M345-Table1[[#This Row],[Net_Daily_Intake]]</f>
        <v>51</v>
      </c>
      <c r="O344" s="5">
        <f>M345-Table1[[#This Row],[Net_Daily_Intake]]/Table1[[#This Row],[Net_Daily_Intake]]</f>
        <v>67</v>
      </c>
      <c r="P344" t="str">
        <f>IF(Table1[[#This Row],[Change_in_Net_Daily_Intake]]&gt;0,"Sustained Positive","Negative")</f>
        <v>Sustained Positive</v>
      </c>
      <c r="Q344" s="1">
        <f>(Table1[[#This Row],[Total_System_Load]]-Table1[[#This Row],[Total_Children_Under_Care]])/Table1[[#This Row],[Total_Children_Under_Care]]*100</f>
        <v>7.5550020755500213</v>
      </c>
      <c r="R344" s="1">
        <f>(Table1[[#This Row],[Children_discharged _from_HHS_ Care]]/Table1[[#This Row],[Children_transferred_out_of_CBP_custody]])</f>
        <v>0.92576419213973804</v>
      </c>
    </row>
    <row r="345" spans="1:18" x14ac:dyDescent="0.3">
      <c r="A345">
        <v>344</v>
      </c>
      <c r="B345" s="7">
        <v>45454</v>
      </c>
      <c r="C345" s="5">
        <v>186</v>
      </c>
      <c r="D345" s="5">
        <v>352</v>
      </c>
      <c r="E345" s="5">
        <v>224</v>
      </c>
      <c r="F345" s="5">
        <v>7493</v>
      </c>
      <c r="G345" s="5">
        <v>156</v>
      </c>
      <c r="H345" t="str">
        <f t="shared" si="26"/>
        <v>Valid</v>
      </c>
      <c r="I345" t="str">
        <f t="shared" si="27"/>
        <v>Valid</v>
      </c>
      <c r="J345" s="5">
        <f t="shared" si="28"/>
        <v>7337</v>
      </c>
      <c r="K345" s="5">
        <f t="shared" si="29"/>
        <v>7845</v>
      </c>
      <c r="L345" s="5">
        <f>IF(Table1[[#This Row],[Total_System_Load]]&gt;80%*AVERAGE(Table1[Total_System_Load]),Table1[[#This Row],[Total_System_Load]]-Table1[[#This Row],[Total_Children_Under_Care]],0)</f>
        <v>508</v>
      </c>
      <c r="M345" s="5">
        <f t="shared" si="25"/>
        <v>68</v>
      </c>
      <c r="N345" s="5">
        <f>M346-Table1[[#This Row],[Net_Daily_Intake]]</f>
        <v>-6</v>
      </c>
      <c r="O345" s="5">
        <f>M346-Table1[[#This Row],[Net_Daily_Intake]]/Table1[[#This Row],[Net_Daily_Intake]]</f>
        <v>61</v>
      </c>
      <c r="P345" t="str">
        <f>IF(Table1[[#This Row],[Change_in_Net_Daily_Intake]]&gt;0,"Sustained Positive","Negative")</f>
        <v>Negative</v>
      </c>
      <c r="Q345" s="1">
        <f>(Table1[[#This Row],[Total_System_Load]]-Table1[[#This Row],[Total_Children_Under_Care]])/Table1[[#This Row],[Total_Children_Under_Care]]*100</f>
        <v>6.923810821861796</v>
      </c>
      <c r="R345" s="1">
        <f>(Table1[[#This Row],[Children_discharged _from_HHS_ Care]]/Table1[[#This Row],[Children_transferred_out_of_CBP_custody]])</f>
        <v>0.6964285714285714</v>
      </c>
    </row>
    <row r="346" spans="1:18" x14ac:dyDescent="0.3">
      <c r="A346">
        <v>345</v>
      </c>
      <c r="B346" s="7">
        <v>45455</v>
      </c>
      <c r="C346" s="5">
        <v>152</v>
      </c>
      <c r="D346" s="5">
        <v>266</v>
      </c>
      <c r="E346" s="5">
        <v>274</v>
      </c>
      <c r="F346" s="5">
        <v>7548</v>
      </c>
      <c r="G346" s="5">
        <v>212</v>
      </c>
      <c r="H346" t="str">
        <f t="shared" si="26"/>
        <v>Invalid</v>
      </c>
      <c r="I346" t="str">
        <f t="shared" si="27"/>
        <v>Valid</v>
      </c>
      <c r="J346" s="5">
        <f t="shared" si="28"/>
        <v>7336</v>
      </c>
      <c r="K346" s="5">
        <f t="shared" si="29"/>
        <v>7814</v>
      </c>
      <c r="L346" s="5">
        <f>IF(Table1[[#This Row],[Total_System_Load]]&gt;80%*AVERAGE(Table1[Total_System_Load]),Table1[[#This Row],[Total_System_Load]]-Table1[[#This Row],[Total_Children_Under_Care]],0)</f>
        <v>478</v>
      </c>
      <c r="M346" s="5">
        <f t="shared" si="25"/>
        <v>62</v>
      </c>
      <c r="N346" s="5">
        <f>M347-Table1[[#This Row],[Net_Daily_Intake]]</f>
        <v>-91</v>
      </c>
      <c r="O346" s="5">
        <f>M347-Table1[[#This Row],[Net_Daily_Intake]]/Table1[[#This Row],[Net_Daily_Intake]]</f>
        <v>-30</v>
      </c>
      <c r="P346" t="str">
        <f>IF(Table1[[#This Row],[Change_in_Net_Daily_Intake]]&gt;0,"Sustained Positive","Negative")</f>
        <v>Negative</v>
      </c>
      <c r="Q346" s="1">
        <f>(Table1[[#This Row],[Total_System_Load]]-Table1[[#This Row],[Total_Children_Under_Care]])/Table1[[#This Row],[Total_Children_Under_Care]]*100</f>
        <v>6.5158124318429653</v>
      </c>
      <c r="R346" s="1">
        <f>(Table1[[#This Row],[Children_discharged _from_HHS_ Care]]/Table1[[#This Row],[Children_transferred_out_of_CBP_custody]])</f>
        <v>0.77372262773722633</v>
      </c>
    </row>
    <row r="347" spans="1:18" x14ac:dyDescent="0.3">
      <c r="A347">
        <v>346</v>
      </c>
      <c r="B347" s="7">
        <v>45456</v>
      </c>
      <c r="C347" s="5">
        <v>167</v>
      </c>
      <c r="D347" s="5">
        <v>293</v>
      </c>
      <c r="E347" s="5">
        <v>230</v>
      </c>
      <c r="F347" s="5">
        <v>7544</v>
      </c>
      <c r="G347" s="5">
        <v>259</v>
      </c>
      <c r="H347" t="str">
        <f t="shared" si="26"/>
        <v>Valid</v>
      </c>
      <c r="I347" t="str">
        <f t="shared" si="27"/>
        <v>Valid</v>
      </c>
      <c r="J347" s="5">
        <f t="shared" si="28"/>
        <v>7285</v>
      </c>
      <c r="K347" s="5">
        <f t="shared" si="29"/>
        <v>7837</v>
      </c>
      <c r="L347" s="5">
        <f>IF(Table1[[#This Row],[Total_System_Load]]&gt;80%*AVERAGE(Table1[Total_System_Load]),Table1[[#This Row],[Total_System_Load]]-Table1[[#This Row],[Total_Children_Under_Care]],0)</f>
        <v>552</v>
      </c>
      <c r="M347" s="5">
        <f t="shared" si="25"/>
        <v>-29</v>
      </c>
      <c r="N347" s="5">
        <f>M348-Table1[[#This Row],[Net_Daily_Intake]]</f>
        <v>-32</v>
      </c>
      <c r="O347" s="5">
        <f>M348-Table1[[#This Row],[Net_Daily_Intake]]/Table1[[#This Row],[Net_Daily_Intake]]</f>
        <v>-62</v>
      </c>
      <c r="P347" t="str">
        <f>IF(Table1[[#This Row],[Change_in_Net_Daily_Intake]]&gt;0,"Sustained Positive","Negative")</f>
        <v>Negative</v>
      </c>
      <c r="Q347" s="1">
        <f>(Table1[[#This Row],[Total_System_Load]]-Table1[[#This Row],[Total_Children_Under_Care]])/Table1[[#This Row],[Total_Children_Under_Care]]*100</f>
        <v>7.5772134522992447</v>
      </c>
      <c r="R347" s="1">
        <f>(Table1[[#This Row],[Children_discharged _from_HHS_ Care]]/Table1[[#This Row],[Children_transferred_out_of_CBP_custody]])</f>
        <v>1.1260869565217391</v>
      </c>
    </row>
    <row r="348" spans="1:18" x14ac:dyDescent="0.3">
      <c r="A348">
        <v>347</v>
      </c>
      <c r="B348" s="7">
        <v>45459</v>
      </c>
      <c r="C348" s="5">
        <v>204</v>
      </c>
      <c r="D348" s="5">
        <v>315</v>
      </c>
      <c r="E348" s="5">
        <v>233</v>
      </c>
      <c r="F348" s="5">
        <v>7307</v>
      </c>
      <c r="G348" s="5">
        <v>294</v>
      </c>
      <c r="H348" t="str">
        <f t="shared" si="26"/>
        <v>Valid</v>
      </c>
      <c r="I348" t="str">
        <f t="shared" si="27"/>
        <v>Valid</v>
      </c>
      <c r="J348" s="5">
        <f t="shared" si="28"/>
        <v>7013</v>
      </c>
      <c r="K348" s="5">
        <f t="shared" si="29"/>
        <v>7622</v>
      </c>
      <c r="L348" s="5">
        <f>IF(Table1[[#This Row],[Total_System_Load]]&gt;80%*AVERAGE(Table1[Total_System_Load]),Table1[[#This Row],[Total_System_Load]]-Table1[[#This Row],[Total_Children_Under_Care]],0)</f>
        <v>609</v>
      </c>
      <c r="M348" s="5">
        <f t="shared" si="25"/>
        <v>-61</v>
      </c>
      <c r="N348" s="5">
        <f>M349-Table1[[#This Row],[Net_Daily_Intake]]</f>
        <v>109</v>
      </c>
      <c r="O348" s="5">
        <f>M349-Table1[[#This Row],[Net_Daily_Intake]]/Table1[[#This Row],[Net_Daily_Intake]]</f>
        <v>47</v>
      </c>
      <c r="P348" t="str">
        <f>IF(Table1[[#This Row],[Change_in_Net_Daily_Intake]]&gt;0,"Sustained Positive","Negative")</f>
        <v>Sustained Positive</v>
      </c>
      <c r="Q348" s="1">
        <f>(Table1[[#This Row],[Total_System_Load]]-Table1[[#This Row],[Total_Children_Under_Care]])/Table1[[#This Row],[Total_Children_Under_Care]]*100</f>
        <v>8.683872807642949</v>
      </c>
      <c r="R348" s="1">
        <f>(Table1[[#This Row],[Children_discharged _from_HHS_ Care]]/Table1[[#This Row],[Children_transferred_out_of_CBP_custody]])</f>
        <v>1.2618025751072961</v>
      </c>
    </row>
    <row r="349" spans="1:18" x14ac:dyDescent="0.3">
      <c r="A349">
        <v>348</v>
      </c>
      <c r="B349" s="7">
        <v>45460</v>
      </c>
      <c r="C349" s="5">
        <v>159</v>
      </c>
      <c r="D349" s="5">
        <v>310</v>
      </c>
      <c r="E349" s="5">
        <v>272</v>
      </c>
      <c r="F349" s="5">
        <v>7318</v>
      </c>
      <c r="G349" s="5">
        <v>224</v>
      </c>
      <c r="H349" t="str">
        <f t="shared" si="26"/>
        <v>Valid</v>
      </c>
      <c r="I349" t="str">
        <f t="shared" si="27"/>
        <v>Valid</v>
      </c>
      <c r="J349" s="5">
        <f t="shared" si="28"/>
        <v>7094</v>
      </c>
      <c r="K349" s="5">
        <f t="shared" si="29"/>
        <v>7628</v>
      </c>
      <c r="L349" s="5">
        <f>IF(Table1[[#This Row],[Total_System_Load]]&gt;80%*AVERAGE(Table1[Total_System_Load]),Table1[[#This Row],[Total_System_Load]]-Table1[[#This Row],[Total_Children_Under_Care]],0)</f>
        <v>534</v>
      </c>
      <c r="M349" s="5">
        <f t="shared" si="25"/>
        <v>48</v>
      </c>
      <c r="N349" s="5">
        <f>M350-Table1[[#This Row],[Net_Daily_Intake]]</f>
        <v>-9</v>
      </c>
      <c r="O349" s="5">
        <f>M350-Table1[[#This Row],[Net_Daily_Intake]]/Table1[[#This Row],[Net_Daily_Intake]]</f>
        <v>38</v>
      </c>
      <c r="P349" t="str">
        <f>IF(Table1[[#This Row],[Change_in_Net_Daily_Intake]]&gt;0,"Sustained Positive","Negative")</f>
        <v>Negative</v>
      </c>
      <c r="Q349" s="1">
        <f>(Table1[[#This Row],[Total_System_Load]]-Table1[[#This Row],[Total_Children_Under_Care]])/Table1[[#This Row],[Total_Children_Under_Care]]*100</f>
        <v>7.5274880180434174</v>
      </c>
      <c r="R349" s="1">
        <f>(Table1[[#This Row],[Children_discharged _from_HHS_ Care]]/Table1[[#This Row],[Children_transferred_out_of_CBP_custody]])</f>
        <v>0.82352941176470584</v>
      </c>
    </row>
    <row r="350" spans="1:18" x14ac:dyDescent="0.3">
      <c r="A350">
        <v>349</v>
      </c>
      <c r="B350" s="7">
        <v>45461</v>
      </c>
      <c r="C350" s="5">
        <v>160</v>
      </c>
      <c r="D350" s="5">
        <v>297</v>
      </c>
      <c r="E350" s="5">
        <v>253</v>
      </c>
      <c r="F350" s="5">
        <v>7340</v>
      </c>
      <c r="G350" s="5">
        <v>214</v>
      </c>
      <c r="H350" t="str">
        <f t="shared" si="26"/>
        <v>Valid</v>
      </c>
      <c r="I350" t="str">
        <f t="shared" si="27"/>
        <v>Valid</v>
      </c>
      <c r="J350" s="5">
        <f t="shared" si="28"/>
        <v>7126</v>
      </c>
      <c r="K350" s="5">
        <f t="shared" si="29"/>
        <v>7637</v>
      </c>
      <c r="L350" s="5">
        <f>IF(Table1[[#This Row],[Total_System_Load]]&gt;80%*AVERAGE(Table1[Total_System_Load]),Table1[[#This Row],[Total_System_Load]]-Table1[[#This Row],[Total_Children_Under_Care]],0)</f>
        <v>511</v>
      </c>
      <c r="M350" s="5">
        <f t="shared" si="25"/>
        <v>39</v>
      </c>
      <c r="N350" s="5">
        <f>M351-Table1[[#This Row],[Net_Daily_Intake]]</f>
        <v>9</v>
      </c>
      <c r="O350" s="5">
        <f>M351-Table1[[#This Row],[Net_Daily_Intake]]/Table1[[#This Row],[Net_Daily_Intake]]</f>
        <v>47</v>
      </c>
      <c r="P350" t="str">
        <f>IF(Table1[[#This Row],[Change_in_Net_Daily_Intake]]&gt;0,"Sustained Positive","Negative")</f>
        <v>Sustained Positive</v>
      </c>
      <c r="Q350" s="1">
        <f>(Table1[[#This Row],[Total_System_Load]]-Table1[[#This Row],[Total_Children_Under_Care]])/Table1[[#This Row],[Total_Children_Under_Care]]*100</f>
        <v>7.1709233791748526</v>
      </c>
      <c r="R350" s="1">
        <f>(Table1[[#This Row],[Children_discharged _from_HHS_ Care]]/Table1[[#This Row],[Children_transferred_out_of_CBP_custody]])</f>
        <v>0.8458498023715415</v>
      </c>
    </row>
    <row r="351" spans="1:18" x14ac:dyDescent="0.3">
      <c r="A351">
        <v>350</v>
      </c>
      <c r="B351" s="7">
        <v>45462</v>
      </c>
      <c r="C351" s="5">
        <v>204</v>
      </c>
      <c r="D351" s="5">
        <v>321</v>
      </c>
      <c r="E351" s="5">
        <v>246</v>
      </c>
      <c r="F351" s="5">
        <v>7433</v>
      </c>
      <c r="G351" s="5">
        <v>198</v>
      </c>
      <c r="H351" t="str">
        <f t="shared" si="26"/>
        <v>Valid</v>
      </c>
      <c r="I351" t="str">
        <f t="shared" si="27"/>
        <v>Valid</v>
      </c>
      <c r="J351" s="5">
        <f t="shared" si="28"/>
        <v>7235</v>
      </c>
      <c r="K351" s="5">
        <f t="shared" si="29"/>
        <v>7754</v>
      </c>
      <c r="L351" s="5">
        <f>IF(Table1[[#This Row],[Total_System_Load]]&gt;80%*AVERAGE(Table1[Total_System_Load]),Table1[[#This Row],[Total_System_Load]]-Table1[[#This Row],[Total_Children_Under_Care]],0)</f>
        <v>519</v>
      </c>
      <c r="M351" s="5">
        <f t="shared" si="25"/>
        <v>48</v>
      </c>
      <c r="N351" s="5">
        <f>M352-Table1[[#This Row],[Net_Daily_Intake]]</f>
        <v>-40</v>
      </c>
      <c r="O351" s="5">
        <f>M352-Table1[[#This Row],[Net_Daily_Intake]]/Table1[[#This Row],[Net_Daily_Intake]]</f>
        <v>7</v>
      </c>
      <c r="P351" t="str">
        <f>IF(Table1[[#This Row],[Change_in_Net_Daily_Intake]]&gt;0,"Sustained Positive","Negative")</f>
        <v>Negative</v>
      </c>
      <c r="Q351" s="1">
        <f>(Table1[[#This Row],[Total_System_Load]]-Table1[[#This Row],[Total_Children_Under_Care]])/Table1[[#This Row],[Total_Children_Under_Care]]*100</f>
        <v>7.1734623358673115</v>
      </c>
      <c r="R351" s="1">
        <f>(Table1[[#This Row],[Children_discharged _from_HHS_ Care]]/Table1[[#This Row],[Children_transferred_out_of_CBP_custody]])</f>
        <v>0.80487804878048785</v>
      </c>
    </row>
    <row r="352" spans="1:18" x14ac:dyDescent="0.3">
      <c r="A352">
        <v>351</v>
      </c>
      <c r="B352" s="7">
        <v>45463</v>
      </c>
      <c r="C352" s="5">
        <v>145</v>
      </c>
      <c r="D352" s="5">
        <v>247</v>
      </c>
      <c r="E352" s="5">
        <v>243</v>
      </c>
      <c r="F352" s="5">
        <v>7431</v>
      </c>
      <c r="G352" s="5">
        <v>235</v>
      </c>
      <c r="H352" t="str">
        <f t="shared" si="26"/>
        <v>Valid</v>
      </c>
      <c r="I352" t="str">
        <f t="shared" si="27"/>
        <v>Valid</v>
      </c>
      <c r="J352" s="5">
        <f t="shared" si="28"/>
        <v>7196</v>
      </c>
      <c r="K352" s="5">
        <f t="shared" si="29"/>
        <v>7678</v>
      </c>
      <c r="L352" s="5">
        <f>IF(Table1[[#This Row],[Total_System_Load]]&gt;80%*AVERAGE(Table1[Total_System_Load]),Table1[[#This Row],[Total_System_Load]]-Table1[[#This Row],[Total_Children_Under_Care]],0)</f>
        <v>482</v>
      </c>
      <c r="M352" s="5">
        <f t="shared" si="25"/>
        <v>8</v>
      </c>
      <c r="N352" s="5">
        <f>M353-Table1[[#This Row],[Net_Daily_Intake]]</f>
        <v>-101</v>
      </c>
      <c r="O352" s="5">
        <f>M353-Table1[[#This Row],[Net_Daily_Intake]]/Table1[[#This Row],[Net_Daily_Intake]]</f>
        <v>-94</v>
      </c>
      <c r="P352" t="str">
        <f>IF(Table1[[#This Row],[Change_in_Net_Daily_Intake]]&gt;0,"Sustained Positive","Negative")</f>
        <v>Negative</v>
      </c>
      <c r="Q352" s="1">
        <f>(Table1[[#This Row],[Total_System_Load]]-Table1[[#This Row],[Total_Children_Under_Care]])/Table1[[#This Row],[Total_Children_Under_Care]]*100</f>
        <v>6.6981656475819902</v>
      </c>
      <c r="R352" s="1">
        <f>(Table1[[#This Row],[Children_discharged _from_HHS_ Care]]/Table1[[#This Row],[Children_transferred_out_of_CBP_custody]])</f>
        <v>0.96707818930041156</v>
      </c>
    </row>
    <row r="353" spans="1:18" x14ac:dyDescent="0.3">
      <c r="A353">
        <v>352</v>
      </c>
      <c r="B353" s="7">
        <v>45466</v>
      </c>
      <c r="C353" s="5">
        <v>102</v>
      </c>
      <c r="D353" s="5">
        <v>227</v>
      </c>
      <c r="E353" s="5">
        <v>201</v>
      </c>
      <c r="F353" s="5">
        <v>7247</v>
      </c>
      <c r="G353" s="5">
        <v>294</v>
      </c>
      <c r="H353" t="str">
        <f t="shared" si="26"/>
        <v>Valid</v>
      </c>
      <c r="I353" t="str">
        <f t="shared" si="27"/>
        <v>Valid</v>
      </c>
      <c r="J353" s="5">
        <f t="shared" si="28"/>
        <v>6953</v>
      </c>
      <c r="K353" s="5">
        <f t="shared" si="29"/>
        <v>7474</v>
      </c>
      <c r="L353" s="5">
        <f>IF(Table1[[#This Row],[Total_System_Load]]&gt;80%*AVERAGE(Table1[Total_System_Load]),Table1[[#This Row],[Total_System_Load]]-Table1[[#This Row],[Total_Children_Under_Care]],0)</f>
        <v>521</v>
      </c>
      <c r="M353" s="5">
        <f t="shared" si="25"/>
        <v>-93</v>
      </c>
      <c r="N353" s="5">
        <f>M354-Table1[[#This Row],[Net_Daily_Intake]]</f>
        <v>63</v>
      </c>
      <c r="O353" s="5">
        <f>M354-Table1[[#This Row],[Net_Daily_Intake]]/Table1[[#This Row],[Net_Daily_Intake]]</f>
        <v>-31</v>
      </c>
      <c r="P353" t="str">
        <f>IF(Table1[[#This Row],[Change_in_Net_Daily_Intake]]&gt;0,"Sustained Positive","Negative")</f>
        <v>Sustained Positive</v>
      </c>
      <c r="Q353" s="1">
        <f>(Table1[[#This Row],[Total_System_Load]]-Table1[[#This Row],[Total_Children_Under_Care]])/Table1[[#This Row],[Total_Children_Under_Care]]*100</f>
        <v>7.4931684165108594</v>
      </c>
      <c r="R353" s="1">
        <f>(Table1[[#This Row],[Children_discharged _from_HHS_ Care]]/Table1[[#This Row],[Children_transferred_out_of_CBP_custody]])</f>
        <v>1.4626865671641791</v>
      </c>
    </row>
    <row r="354" spans="1:18" x14ac:dyDescent="0.3">
      <c r="A354">
        <v>353</v>
      </c>
      <c r="B354" s="7">
        <v>45467</v>
      </c>
      <c r="C354" s="5">
        <v>116</v>
      </c>
      <c r="D354" s="5">
        <v>175</v>
      </c>
      <c r="E354" s="5">
        <v>172</v>
      </c>
      <c r="F354" s="5">
        <v>7239</v>
      </c>
      <c r="G354" s="5">
        <v>202</v>
      </c>
      <c r="H354" t="str">
        <f t="shared" si="26"/>
        <v>Valid</v>
      </c>
      <c r="I354" t="str">
        <f t="shared" si="27"/>
        <v>Valid</v>
      </c>
      <c r="J354" s="5">
        <f t="shared" si="28"/>
        <v>7037</v>
      </c>
      <c r="K354" s="5">
        <f t="shared" si="29"/>
        <v>7414</v>
      </c>
      <c r="L354" s="5">
        <f>IF(Table1[[#This Row],[Total_System_Load]]&gt;80%*AVERAGE(Table1[Total_System_Load]),Table1[[#This Row],[Total_System_Load]]-Table1[[#This Row],[Total_Children_Under_Care]],0)</f>
        <v>377</v>
      </c>
      <c r="M354" s="5">
        <f t="shared" si="25"/>
        <v>-30</v>
      </c>
      <c r="N354" s="5">
        <f>M355-Table1[[#This Row],[Net_Daily_Intake]]</f>
        <v>19</v>
      </c>
      <c r="O354" s="5">
        <f>M355-Table1[[#This Row],[Net_Daily_Intake]]/Table1[[#This Row],[Net_Daily_Intake]]</f>
        <v>-12</v>
      </c>
      <c r="P354" t="str">
        <f>IF(Table1[[#This Row],[Change_in_Net_Daily_Intake]]&gt;0,"Sustained Positive","Negative")</f>
        <v>Sustained Positive</v>
      </c>
      <c r="Q354" s="1">
        <f>(Table1[[#This Row],[Total_System_Load]]-Table1[[#This Row],[Total_Children_Under_Care]])/Table1[[#This Row],[Total_Children_Under_Care]]*100</f>
        <v>5.3573966178769359</v>
      </c>
      <c r="R354" s="1">
        <f>(Table1[[#This Row],[Children_discharged _from_HHS_ Care]]/Table1[[#This Row],[Children_transferred_out_of_CBP_custody]])</f>
        <v>1.1744186046511629</v>
      </c>
    </row>
    <row r="355" spans="1:18" x14ac:dyDescent="0.3">
      <c r="A355">
        <v>354</v>
      </c>
      <c r="B355" s="7">
        <v>45468</v>
      </c>
      <c r="C355" s="5">
        <v>172</v>
      </c>
      <c r="D355" s="5">
        <v>263</v>
      </c>
      <c r="E355" s="5">
        <v>191</v>
      </c>
      <c r="F355" s="5">
        <v>7239</v>
      </c>
      <c r="G355" s="5">
        <v>202</v>
      </c>
      <c r="H355" t="str">
        <f t="shared" si="26"/>
        <v>Valid</v>
      </c>
      <c r="I355" t="str">
        <f t="shared" si="27"/>
        <v>Valid</v>
      </c>
      <c r="J355" s="5">
        <f t="shared" si="28"/>
        <v>7037</v>
      </c>
      <c r="K355" s="5">
        <f t="shared" si="29"/>
        <v>7502</v>
      </c>
      <c r="L355" s="5">
        <f>IF(Table1[[#This Row],[Total_System_Load]]&gt;80%*AVERAGE(Table1[Total_System_Load]),Table1[[#This Row],[Total_System_Load]]-Table1[[#This Row],[Total_Children_Under_Care]],0)</f>
        <v>465</v>
      </c>
      <c r="M355" s="5">
        <f t="shared" si="25"/>
        <v>-11</v>
      </c>
      <c r="N355" s="5">
        <f>M356-Table1[[#This Row],[Net_Daily_Intake]]</f>
        <v>21</v>
      </c>
      <c r="O355" s="5">
        <f>M356-Table1[[#This Row],[Net_Daily_Intake]]/Table1[[#This Row],[Net_Daily_Intake]]</f>
        <v>9</v>
      </c>
      <c r="P355" t="str">
        <f>IF(Table1[[#This Row],[Change_in_Net_Daily_Intake]]&gt;0,"Sustained Positive","Negative")</f>
        <v>Sustained Positive</v>
      </c>
      <c r="Q355" s="1">
        <f>(Table1[[#This Row],[Total_System_Load]]-Table1[[#This Row],[Total_Children_Under_Care]])/Table1[[#This Row],[Total_Children_Under_Care]]*100</f>
        <v>6.607929515418502</v>
      </c>
      <c r="R355" s="1">
        <f>(Table1[[#This Row],[Children_discharged _from_HHS_ Care]]/Table1[[#This Row],[Children_transferred_out_of_CBP_custody]])</f>
        <v>1.0575916230366491</v>
      </c>
    </row>
    <row r="356" spans="1:18" x14ac:dyDescent="0.3">
      <c r="A356">
        <v>355</v>
      </c>
      <c r="B356" s="7">
        <v>45469</v>
      </c>
      <c r="C356" s="5">
        <v>132</v>
      </c>
      <c r="D356" s="5">
        <v>235</v>
      </c>
      <c r="E356" s="5">
        <v>197</v>
      </c>
      <c r="F356" s="5">
        <v>7268</v>
      </c>
      <c r="G356" s="5">
        <v>187</v>
      </c>
      <c r="H356" t="str">
        <f t="shared" si="26"/>
        <v>Valid</v>
      </c>
      <c r="I356" t="str">
        <f t="shared" si="27"/>
        <v>Valid</v>
      </c>
      <c r="J356" s="5">
        <f t="shared" si="28"/>
        <v>7081</v>
      </c>
      <c r="K356" s="5">
        <f t="shared" si="29"/>
        <v>7503</v>
      </c>
      <c r="L356" s="5">
        <f>IF(Table1[[#This Row],[Total_System_Load]]&gt;80%*AVERAGE(Table1[Total_System_Load]),Table1[[#This Row],[Total_System_Load]]-Table1[[#This Row],[Total_Children_Under_Care]],0)</f>
        <v>422</v>
      </c>
      <c r="M356" s="5">
        <f t="shared" si="25"/>
        <v>10</v>
      </c>
      <c r="N356" s="5">
        <f>M357-Table1[[#This Row],[Net_Daily_Intake]]</f>
        <v>-22</v>
      </c>
      <c r="O356" s="5">
        <f>M357-Table1[[#This Row],[Net_Daily_Intake]]/Table1[[#This Row],[Net_Daily_Intake]]</f>
        <v>-13</v>
      </c>
      <c r="P356" t="str">
        <f>IF(Table1[[#This Row],[Change_in_Net_Daily_Intake]]&gt;0,"Sustained Positive","Negative")</f>
        <v>Negative</v>
      </c>
      <c r="Q356" s="1">
        <f>(Table1[[#This Row],[Total_System_Load]]-Table1[[#This Row],[Total_Children_Under_Care]])/Table1[[#This Row],[Total_Children_Under_Care]]*100</f>
        <v>5.9596102245445559</v>
      </c>
      <c r="R356" s="1">
        <f>(Table1[[#This Row],[Children_discharged _from_HHS_ Care]]/Table1[[#This Row],[Children_transferred_out_of_CBP_custody]])</f>
        <v>0.949238578680203</v>
      </c>
    </row>
    <row r="357" spans="1:18" x14ac:dyDescent="0.3">
      <c r="A357">
        <v>356</v>
      </c>
      <c r="B357" s="7">
        <v>45470</v>
      </c>
      <c r="C357" s="5">
        <v>174</v>
      </c>
      <c r="D357" s="5">
        <v>208</v>
      </c>
      <c r="E357" s="5">
        <v>256</v>
      </c>
      <c r="F357" s="5">
        <v>7248</v>
      </c>
      <c r="G357" s="5">
        <v>268</v>
      </c>
      <c r="H357" t="str">
        <f t="shared" si="26"/>
        <v>Invalid</v>
      </c>
      <c r="I357" t="str">
        <f t="shared" si="27"/>
        <v>Valid</v>
      </c>
      <c r="J357" s="5">
        <f t="shared" si="28"/>
        <v>6980</v>
      </c>
      <c r="K357" s="5">
        <f t="shared" si="29"/>
        <v>7456</v>
      </c>
      <c r="L357" s="5">
        <f>IF(Table1[[#This Row],[Total_System_Load]]&gt;80%*AVERAGE(Table1[Total_System_Load]),Table1[[#This Row],[Total_System_Load]]-Table1[[#This Row],[Total_Children_Under_Care]],0)</f>
        <v>476</v>
      </c>
      <c r="M357" s="5">
        <f t="shared" si="25"/>
        <v>-12</v>
      </c>
      <c r="N357" s="5">
        <f>M358-Table1[[#This Row],[Net_Daily_Intake]]</f>
        <v>-94</v>
      </c>
      <c r="O357" s="5">
        <f>M358-Table1[[#This Row],[Net_Daily_Intake]]/Table1[[#This Row],[Net_Daily_Intake]]</f>
        <v>-107</v>
      </c>
      <c r="P357" t="str">
        <f>IF(Table1[[#This Row],[Change_in_Net_Daily_Intake]]&gt;0,"Sustained Positive","Negative")</f>
        <v>Negative</v>
      </c>
      <c r="Q357" s="1">
        <f>(Table1[[#This Row],[Total_System_Load]]-Table1[[#This Row],[Total_Children_Under_Care]])/Table1[[#This Row],[Total_Children_Under_Care]]*100</f>
        <v>6.8194842406876788</v>
      </c>
      <c r="R357" s="1">
        <f>(Table1[[#This Row],[Children_discharged _from_HHS_ Care]]/Table1[[#This Row],[Children_transferred_out_of_CBP_custody]])</f>
        <v>1.046875</v>
      </c>
    </row>
    <row r="358" spans="1:18" x14ac:dyDescent="0.3">
      <c r="A358">
        <v>357</v>
      </c>
      <c r="B358" s="7">
        <v>45473</v>
      </c>
      <c r="C358" s="5">
        <v>123</v>
      </c>
      <c r="D358" s="5">
        <v>230</v>
      </c>
      <c r="E358" s="5">
        <v>167</v>
      </c>
      <c r="F358" s="5">
        <v>6874</v>
      </c>
      <c r="G358" s="5">
        <v>273</v>
      </c>
      <c r="H358" t="str">
        <f t="shared" si="26"/>
        <v>Valid</v>
      </c>
      <c r="I358" t="str">
        <f t="shared" si="27"/>
        <v>Valid</v>
      </c>
      <c r="J358" s="5">
        <f t="shared" si="28"/>
        <v>6601</v>
      </c>
      <c r="K358" s="5">
        <f t="shared" si="29"/>
        <v>7104</v>
      </c>
      <c r="L358" s="5">
        <f>IF(Table1[[#This Row],[Total_System_Load]]&gt;80%*AVERAGE(Table1[Total_System_Load]),Table1[[#This Row],[Total_System_Load]]-Table1[[#This Row],[Total_Children_Under_Care]],0)</f>
        <v>503</v>
      </c>
      <c r="M358" s="5">
        <f t="shared" si="25"/>
        <v>-106</v>
      </c>
      <c r="N358" s="5">
        <f>M359-Table1[[#This Row],[Net_Daily_Intake]]</f>
        <v>36</v>
      </c>
      <c r="O358" s="5">
        <f>M359-Table1[[#This Row],[Net_Daily_Intake]]/Table1[[#This Row],[Net_Daily_Intake]]</f>
        <v>-71</v>
      </c>
      <c r="P358" t="str">
        <f>IF(Table1[[#This Row],[Change_in_Net_Daily_Intake]]&gt;0,"Sustained Positive","Negative")</f>
        <v>Sustained Positive</v>
      </c>
      <c r="Q358" s="1">
        <f>(Table1[[#This Row],[Total_System_Load]]-Table1[[#This Row],[Total_Children_Under_Care]])/Table1[[#This Row],[Total_Children_Under_Care]]*100</f>
        <v>7.620057567035297</v>
      </c>
      <c r="R358" s="1">
        <f>(Table1[[#This Row],[Children_discharged _from_HHS_ Care]]/Table1[[#This Row],[Children_transferred_out_of_CBP_custody]])</f>
        <v>1.6347305389221556</v>
      </c>
    </row>
    <row r="359" spans="1:18" x14ac:dyDescent="0.3">
      <c r="A359">
        <v>358</v>
      </c>
      <c r="B359" s="7">
        <v>45474</v>
      </c>
      <c r="C359" s="5">
        <v>123</v>
      </c>
      <c r="D359" s="5">
        <v>233</v>
      </c>
      <c r="E359" s="5">
        <v>159</v>
      </c>
      <c r="F359" s="5">
        <v>6825</v>
      </c>
      <c r="G359" s="5">
        <v>229</v>
      </c>
      <c r="H359" t="str">
        <f t="shared" si="26"/>
        <v>Valid</v>
      </c>
      <c r="I359" t="str">
        <f t="shared" si="27"/>
        <v>Valid</v>
      </c>
      <c r="J359" s="5">
        <f t="shared" si="28"/>
        <v>6596</v>
      </c>
      <c r="K359" s="5">
        <f t="shared" si="29"/>
        <v>7058</v>
      </c>
      <c r="L359" s="5">
        <f>IF(Table1[[#This Row],[Total_System_Load]]&gt;80%*AVERAGE(Table1[Total_System_Load]),Table1[[#This Row],[Total_System_Load]]-Table1[[#This Row],[Total_Children_Under_Care]],0)</f>
        <v>462</v>
      </c>
      <c r="M359" s="5">
        <f t="shared" si="25"/>
        <v>-70</v>
      </c>
      <c r="N359" s="5">
        <f>M360-Table1[[#This Row],[Net_Daily_Intake]]</f>
        <v>74</v>
      </c>
      <c r="O359" s="5">
        <f>M360-Table1[[#This Row],[Net_Daily_Intake]]/Table1[[#This Row],[Net_Daily_Intake]]</f>
        <v>3</v>
      </c>
      <c r="P359" t="str">
        <f>IF(Table1[[#This Row],[Change_in_Net_Daily_Intake]]&gt;0,"Sustained Positive","Negative")</f>
        <v>Sustained Positive</v>
      </c>
      <c r="Q359" s="1">
        <f>(Table1[[#This Row],[Total_System_Load]]-Table1[[#This Row],[Total_Children_Under_Care]])/Table1[[#This Row],[Total_Children_Under_Care]]*100</f>
        <v>7.0042449969678593</v>
      </c>
      <c r="R359" s="1">
        <f>(Table1[[#This Row],[Children_discharged _from_HHS_ Care]]/Table1[[#This Row],[Children_transferred_out_of_CBP_custody]])</f>
        <v>1.4402515723270439</v>
      </c>
    </row>
    <row r="360" spans="1:18" x14ac:dyDescent="0.3">
      <c r="A360">
        <v>359</v>
      </c>
      <c r="B360" s="7">
        <v>45475</v>
      </c>
      <c r="C360" s="5">
        <v>141</v>
      </c>
      <c r="D360" s="5">
        <v>232</v>
      </c>
      <c r="E360" s="5">
        <v>188</v>
      </c>
      <c r="F360" s="5">
        <v>6823</v>
      </c>
      <c r="G360" s="5">
        <v>184</v>
      </c>
      <c r="H360" t="str">
        <f t="shared" si="26"/>
        <v>Valid</v>
      </c>
      <c r="I360" t="str">
        <f t="shared" si="27"/>
        <v>Valid</v>
      </c>
      <c r="J360" s="5">
        <f t="shared" si="28"/>
        <v>6639</v>
      </c>
      <c r="K360" s="5">
        <f t="shared" si="29"/>
        <v>7055</v>
      </c>
      <c r="L360" s="5">
        <f>IF(Table1[[#This Row],[Total_System_Load]]&gt;80%*AVERAGE(Table1[Total_System_Load]),Table1[[#This Row],[Total_System_Load]]-Table1[[#This Row],[Total_Children_Under_Care]],0)</f>
        <v>416</v>
      </c>
      <c r="M360" s="5">
        <f t="shared" si="25"/>
        <v>4</v>
      </c>
      <c r="N360" s="5">
        <f>M361-Table1[[#This Row],[Net_Daily_Intake]]</f>
        <v>-38</v>
      </c>
      <c r="O360" s="5">
        <f>M361-Table1[[#This Row],[Net_Daily_Intake]]/Table1[[#This Row],[Net_Daily_Intake]]</f>
        <v>-35</v>
      </c>
      <c r="P360" t="str">
        <f>IF(Table1[[#This Row],[Change_in_Net_Daily_Intake]]&gt;0,"Sustained Positive","Negative")</f>
        <v>Negative</v>
      </c>
      <c r="Q360" s="1">
        <f>(Table1[[#This Row],[Total_System_Load]]-Table1[[#This Row],[Total_Children_Under_Care]])/Table1[[#This Row],[Total_Children_Under_Care]]*100</f>
        <v>6.2660039162524477</v>
      </c>
      <c r="R360" s="1">
        <f>(Table1[[#This Row],[Children_discharged _from_HHS_ Care]]/Table1[[#This Row],[Children_transferred_out_of_CBP_custody]])</f>
        <v>0.97872340425531912</v>
      </c>
    </row>
    <row r="361" spans="1:18" x14ac:dyDescent="0.3">
      <c r="A361">
        <v>360</v>
      </c>
      <c r="B361" s="7">
        <v>45477</v>
      </c>
      <c r="C361" s="5">
        <v>158</v>
      </c>
      <c r="D361" s="5">
        <v>226</v>
      </c>
      <c r="E361" s="5">
        <v>191</v>
      </c>
      <c r="F361" s="5">
        <v>6790</v>
      </c>
      <c r="G361" s="5">
        <v>225</v>
      </c>
      <c r="H361" t="str">
        <f t="shared" si="26"/>
        <v>Valid</v>
      </c>
      <c r="I361" t="str">
        <f t="shared" si="27"/>
        <v>Valid</v>
      </c>
      <c r="J361" s="5">
        <f t="shared" si="28"/>
        <v>6565</v>
      </c>
      <c r="K361" s="5">
        <f t="shared" si="29"/>
        <v>7016</v>
      </c>
      <c r="L361" s="5">
        <f>IF(Table1[[#This Row],[Total_System_Load]]&gt;80%*AVERAGE(Table1[Total_System_Load]),Table1[[#This Row],[Total_System_Load]]-Table1[[#This Row],[Total_Children_Under_Care]],0)</f>
        <v>451</v>
      </c>
      <c r="M361" s="5">
        <f t="shared" si="25"/>
        <v>-34</v>
      </c>
      <c r="N361" s="5">
        <f>M362-Table1[[#This Row],[Net_Daily_Intake]]</f>
        <v>54</v>
      </c>
      <c r="O361" s="5">
        <f>M362-Table1[[#This Row],[Net_Daily_Intake]]/Table1[[#This Row],[Net_Daily_Intake]]</f>
        <v>19</v>
      </c>
      <c r="P361" t="str">
        <f>IF(Table1[[#This Row],[Change_in_Net_Daily_Intake]]&gt;0,"Sustained Positive","Negative")</f>
        <v>Sustained Positive</v>
      </c>
      <c r="Q361" s="1">
        <f>(Table1[[#This Row],[Total_System_Load]]-Table1[[#This Row],[Total_Children_Under_Care]])/Table1[[#This Row],[Total_Children_Under_Care]]*100</f>
        <v>6.8697638994668697</v>
      </c>
      <c r="R361" s="1">
        <f>(Table1[[#This Row],[Children_discharged _from_HHS_ Care]]/Table1[[#This Row],[Children_transferred_out_of_CBP_custody]])</f>
        <v>1.1780104712041886</v>
      </c>
    </row>
    <row r="362" spans="1:18" x14ac:dyDescent="0.3">
      <c r="A362">
        <v>361</v>
      </c>
      <c r="B362" s="7">
        <v>45480</v>
      </c>
      <c r="C362" s="5">
        <v>96</v>
      </c>
      <c r="D362" s="5">
        <v>160</v>
      </c>
      <c r="E362" s="5">
        <v>233</v>
      </c>
      <c r="F362" s="5">
        <v>6599</v>
      </c>
      <c r="G362" s="5">
        <v>213</v>
      </c>
      <c r="H362" t="str">
        <f t="shared" si="26"/>
        <v>Invalid</v>
      </c>
      <c r="I362" t="str">
        <f t="shared" si="27"/>
        <v>Valid</v>
      </c>
      <c r="J362" s="5">
        <f t="shared" si="28"/>
        <v>6386</v>
      </c>
      <c r="K362" s="5">
        <f t="shared" si="29"/>
        <v>6759</v>
      </c>
      <c r="L362" s="5">
        <f>IF(Table1[[#This Row],[Total_System_Load]]&gt;80%*AVERAGE(Table1[Total_System_Load]),Table1[[#This Row],[Total_System_Load]]-Table1[[#This Row],[Total_Children_Under_Care]],0)</f>
        <v>373</v>
      </c>
      <c r="M362" s="5">
        <f t="shared" si="25"/>
        <v>20</v>
      </c>
      <c r="N362" s="5">
        <f>M363-Table1[[#This Row],[Net_Daily_Intake]]</f>
        <v>-14</v>
      </c>
      <c r="O362" s="5">
        <f>M363-Table1[[#This Row],[Net_Daily_Intake]]/Table1[[#This Row],[Net_Daily_Intake]]</f>
        <v>5</v>
      </c>
      <c r="P362" t="str">
        <f>IF(Table1[[#This Row],[Change_in_Net_Daily_Intake]]&gt;0,"Sustained Positive","Negative")</f>
        <v>Negative</v>
      </c>
      <c r="Q362" s="1">
        <f>(Table1[[#This Row],[Total_System_Load]]-Table1[[#This Row],[Total_Children_Under_Care]])/Table1[[#This Row],[Total_Children_Under_Care]]*100</f>
        <v>5.8409019730660825</v>
      </c>
      <c r="R362" s="1">
        <f>(Table1[[#This Row],[Children_discharged _from_HHS_ Care]]/Table1[[#This Row],[Children_transferred_out_of_CBP_custody]])</f>
        <v>0.91416309012875541</v>
      </c>
    </row>
    <row r="363" spans="1:18" x14ac:dyDescent="0.3">
      <c r="A363">
        <v>362</v>
      </c>
      <c r="B363" s="7">
        <v>45481</v>
      </c>
      <c r="C363" s="5">
        <v>141</v>
      </c>
      <c r="D363" s="5">
        <v>173</v>
      </c>
      <c r="E363" s="5">
        <v>129</v>
      </c>
      <c r="F363" s="5">
        <v>6617</v>
      </c>
      <c r="G363" s="5">
        <v>123</v>
      </c>
      <c r="H363" t="str">
        <f t="shared" si="26"/>
        <v>Valid</v>
      </c>
      <c r="I363" t="str">
        <f t="shared" si="27"/>
        <v>Valid</v>
      </c>
      <c r="J363" s="5">
        <f t="shared" si="28"/>
        <v>6494</v>
      </c>
      <c r="K363" s="5">
        <f t="shared" si="29"/>
        <v>6790</v>
      </c>
      <c r="L363" s="5">
        <f>IF(Table1[[#This Row],[Total_System_Load]]&gt;80%*AVERAGE(Table1[Total_System_Load]),Table1[[#This Row],[Total_System_Load]]-Table1[[#This Row],[Total_Children_Under_Care]],0)</f>
        <v>296</v>
      </c>
      <c r="M363" s="5">
        <f t="shared" si="25"/>
        <v>6</v>
      </c>
      <c r="N363" s="5">
        <f>M364-Table1[[#This Row],[Net_Daily_Intake]]</f>
        <v>46</v>
      </c>
      <c r="O363" s="5">
        <f>M364-Table1[[#This Row],[Net_Daily_Intake]]/Table1[[#This Row],[Net_Daily_Intake]]</f>
        <v>51</v>
      </c>
      <c r="P363" t="str">
        <f>IF(Table1[[#This Row],[Change_in_Net_Daily_Intake]]&gt;0,"Sustained Positive","Negative")</f>
        <v>Sustained Positive</v>
      </c>
      <c r="Q363" s="1">
        <f>(Table1[[#This Row],[Total_System_Load]]-Table1[[#This Row],[Total_Children_Under_Care]])/Table1[[#This Row],[Total_Children_Under_Care]]*100</f>
        <v>4.5580535879273176</v>
      </c>
      <c r="R363" s="1">
        <f>(Table1[[#This Row],[Children_discharged _from_HHS_ Care]]/Table1[[#This Row],[Children_transferred_out_of_CBP_custody]])</f>
        <v>0.95348837209302328</v>
      </c>
    </row>
    <row r="364" spans="1:18" x14ac:dyDescent="0.3">
      <c r="A364">
        <v>363</v>
      </c>
      <c r="B364" s="7">
        <v>45482</v>
      </c>
      <c r="C364" s="5">
        <v>116</v>
      </c>
      <c r="D364" s="5">
        <v>181</v>
      </c>
      <c r="E364" s="5">
        <v>182</v>
      </c>
      <c r="F364" s="5">
        <v>6651</v>
      </c>
      <c r="G364" s="5">
        <v>130</v>
      </c>
      <c r="H364" t="str">
        <f t="shared" si="26"/>
        <v>Invalid</v>
      </c>
      <c r="I364" t="str">
        <f t="shared" si="27"/>
        <v>Valid</v>
      </c>
      <c r="J364" s="5">
        <f t="shared" si="28"/>
        <v>6521</v>
      </c>
      <c r="K364" s="5">
        <f t="shared" si="29"/>
        <v>6832</v>
      </c>
      <c r="L364" s="5">
        <f>IF(Table1[[#This Row],[Total_System_Load]]&gt;80%*AVERAGE(Table1[Total_System_Load]),Table1[[#This Row],[Total_System_Load]]-Table1[[#This Row],[Total_Children_Under_Care]],0)</f>
        <v>311</v>
      </c>
      <c r="M364" s="5">
        <f t="shared" si="25"/>
        <v>52</v>
      </c>
      <c r="N364" s="5">
        <f>M365-Table1[[#This Row],[Net_Daily_Intake]]</f>
        <v>-28</v>
      </c>
      <c r="O364" s="5">
        <f>M365-Table1[[#This Row],[Net_Daily_Intake]]/Table1[[#This Row],[Net_Daily_Intake]]</f>
        <v>23</v>
      </c>
      <c r="P364" t="str">
        <f>IF(Table1[[#This Row],[Change_in_Net_Daily_Intake]]&gt;0,"Sustained Positive","Negative")</f>
        <v>Negative</v>
      </c>
      <c r="Q364" s="1">
        <f>(Table1[[#This Row],[Total_System_Load]]-Table1[[#This Row],[Total_Children_Under_Care]])/Table1[[#This Row],[Total_Children_Under_Care]]*100</f>
        <v>4.7692071768133717</v>
      </c>
      <c r="R364" s="1">
        <f>(Table1[[#This Row],[Children_discharged _from_HHS_ Care]]/Table1[[#This Row],[Children_transferred_out_of_CBP_custody]])</f>
        <v>0.7142857142857143</v>
      </c>
    </row>
    <row r="365" spans="1:18" x14ac:dyDescent="0.3">
      <c r="A365">
        <v>364</v>
      </c>
      <c r="B365" s="7">
        <v>45483</v>
      </c>
      <c r="C365" s="5">
        <v>150</v>
      </c>
      <c r="D365" s="5">
        <v>157</v>
      </c>
      <c r="E365" s="5">
        <v>201</v>
      </c>
      <c r="F365" s="5">
        <v>6649</v>
      </c>
      <c r="G365" s="5">
        <v>177</v>
      </c>
      <c r="H365" t="str">
        <f t="shared" si="26"/>
        <v>Invalid</v>
      </c>
      <c r="I365" t="str">
        <f t="shared" si="27"/>
        <v>Valid</v>
      </c>
      <c r="J365" s="5">
        <f t="shared" si="28"/>
        <v>6472</v>
      </c>
      <c r="K365" s="5">
        <f t="shared" si="29"/>
        <v>6806</v>
      </c>
      <c r="L365" s="5">
        <f>IF(Table1[[#This Row],[Total_System_Load]]&gt;80%*AVERAGE(Table1[Total_System_Load]),Table1[[#This Row],[Total_System_Load]]-Table1[[#This Row],[Total_Children_Under_Care]],0)</f>
        <v>334</v>
      </c>
      <c r="M365" s="5">
        <f t="shared" si="25"/>
        <v>24</v>
      </c>
      <c r="N365" s="5">
        <f>M366-Table1[[#This Row],[Net_Daily_Intake]]</f>
        <v>-96</v>
      </c>
      <c r="O365" s="5">
        <f>M366-Table1[[#This Row],[Net_Daily_Intake]]/Table1[[#This Row],[Net_Daily_Intake]]</f>
        <v>-73</v>
      </c>
      <c r="P365" t="str">
        <f>IF(Table1[[#This Row],[Change_in_Net_Daily_Intake]]&gt;0,"Sustained Positive","Negative")</f>
        <v>Negative</v>
      </c>
      <c r="Q365" s="1">
        <f>(Table1[[#This Row],[Total_System_Load]]-Table1[[#This Row],[Total_Children_Under_Care]])/Table1[[#This Row],[Total_Children_Under_Care]]*100</f>
        <v>5.1606922126081578</v>
      </c>
      <c r="R365" s="1">
        <f>(Table1[[#This Row],[Children_discharged _from_HHS_ Care]]/Table1[[#This Row],[Children_transferred_out_of_CBP_custody]])</f>
        <v>0.88059701492537312</v>
      </c>
    </row>
    <row r="366" spans="1:18" x14ac:dyDescent="0.3">
      <c r="A366">
        <v>365</v>
      </c>
      <c r="B366" s="7">
        <v>45484</v>
      </c>
      <c r="C366" s="5">
        <v>80</v>
      </c>
      <c r="D366" s="5">
        <v>176</v>
      </c>
      <c r="E366" s="5">
        <v>125</v>
      </c>
      <c r="F366" s="5">
        <v>6640</v>
      </c>
      <c r="G366" s="5">
        <v>197</v>
      </c>
      <c r="H366" t="str">
        <f t="shared" si="26"/>
        <v>Valid</v>
      </c>
      <c r="I366" t="str">
        <f t="shared" si="27"/>
        <v>Valid</v>
      </c>
      <c r="J366" s="5">
        <f t="shared" si="28"/>
        <v>6443</v>
      </c>
      <c r="K366" s="5">
        <f t="shared" si="29"/>
        <v>6816</v>
      </c>
      <c r="L366" s="5">
        <f>IF(Table1[[#This Row],[Total_System_Load]]&gt;80%*AVERAGE(Table1[Total_System_Load]),Table1[[#This Row],[Total_System_Load]]-Table1[[#This Row],[Total_Children_Under_Care]],0)</f>
        <v>373</v>
      </c>
      <c r="M366" s="5">
        <f t="shared" si="25"/>
        <v>-72</v>
      </c>
      <c r="N366" s="5">
        <f>M367-Table1[[#This Row],[Net_Daily_Intake]]</f>
        <v>-1</v>
      </c>
      <c r="O366" s="5">
        <f>M367-Table1[[#This Row],[Net_Daily_Intake]]/Table1[[#This Row],[Net_Daily_Intake]]</f>
        <v>-74</v>
      </c>
      <c r="P366" t="str">
        <f>IF(Table1[[#This Row],[Change_in_Net_Daily_Intake]]&gt;0,"Sustained Positive","Negative")</f>
        <v>Negative</v>
      </c>
      <c r="Q366" s="1">
        <f>(Table1[[#This Row],[Total_System_Load]]-Table1[[#This Row],[Total_Children_Under_Care]])/Table1[[#This Row],[Total_Children_Under_Care]]*100</f>
        <v>5.7892286202079779</v>
      </c>
      <c r="R366" s="1">
        <f>(Table1[[#This Row],[Children_discharged _from_HHS_ Care]]/Table1[[#This Row],[Children_transferred_out_of_CBP_custody]])</f>
        <v>1.5760000000000001</v>
      </c>
    </row>
    <row r="367" spans="1:18" x14ac:dyDescent="0.3">
      <c r="A367">
        <v>366</v>
      </c>
      <c r="B367" s="7">
        <v>45487</v>
      </c>
      <c r="C367" s="5">
        <v>116</v>
      </c>
      <c r="D367" s="5">
        <v>188</v>
      </c>
      <c r="E367" s="5">
        <v>164</v>
      </c>
      <c r="F367" s="5">
        <v>6308</v>
      </c>
      <c r="G367" s="5">
        <v>237</v>
      </c>
      <c r="H367" t="str">
        <f t="shared" si="26"/>
        <v>Valid</v>
      </c>
      <c r="I367" t="str">
        <f t="shared" si="27"/>
        <v>Valid</v>
      </c>
      <c r="J367" s="5">
        <f t="shared" si="28"/>
        <v>6071</v>
      </c>
      <c r="K367" s="5">
        <f t="shared" si="29"/>
        <v>6496</v>
      </c>
      <c r="L367" s="5">
        <f>IF(Table1[[#This Row],[Total_System_Load]]&gt;80%*AVERAGE(Table1[Total_System_Load]),Table1[[#This Row],[Total_System_Load]]-Table1[[#This Row],[Total_Children_Under_Care]],0)</f>
        <v>425</v>
      </c>
      <c r="M367" s="5">
        <f t="shared" si="25"/>
        <v>-73</v>
      </c>
      <c r="N367" s="5">
        <f>M368-Table1[[#This Row],[Net_Daily_Intake]]</f>
        <v>60</v>
      </c>
      <c r="O367" s="5">
        <f>M368-Table1[[#This Row],[Net_Daily_Intake]]/Table1[[#This Row],[Net_Daily_Intake]]</f>
        <v>-14</v>
      </c>
      <c r="P367" t="str">
        <f>IF(Table1[[#This Row],[Change_in_Net_Daily_Intake]]&gt;0,"Sustained Positive","Negative")</f>
        <v>Sustained Positive</v>
      </c>
      <c r="Q367" s="1">
        <f>(Table1[[#This Row],[Total_System_Load]]-Table1[[#This Row],[Total_Children_Under_Care]])/Table1[[#This Row],[Total_Children_Under_Care]]*100</f>
        <v>7.0004941525284137</v>
      </c>
      <c r="R367" s="1">
        <f>(Table1[[#This Row],[Children_discharged _from_HHS_ Care]]/Table1[[#This Row],[Children_transferred_out_of_CBP_custody]])</f>
        <v>1.4451219512195121</v>
      </c>
    </row>
    <row r="368" spans="1:18" x14ac:dyDescent="0.3">
      <c r="A368">
        <v>367</v>
      </c>
      <c r="B368" s="7">
        <v>45488</v>
      </c>
      <c r="C368" s="5">
        <v>105</v>
      </c>
      <c r="D368" s="5">
        <v>185</v>
      </c>
      <c r="E368" s="5">
        <v>158</v>
      </c>
      <c r="F368" s="5">
        <v>6283</v>
      </c>
      <c r="G368" s="5">
        <v>171</v>
      </c>
      <c r="H368" t="str">
        <f t="shared" si="26"/>
        <v>Valid</v>
      </c>
      <c r="I368" t="str">
        <f t="shared" si="27"/>
        <v>Valid</v>
      </c>
      <c r="J368" s="5">
        <f t="shared" si="28"/>
        <v>6112</v>
      </c>
      <c r="K368" s="5">
        <f t="shared" si="29"/>
        <v>6468</v>
      </c>
      <c r="L368" s="5">
        <f>IF(Table1[[#This Row],[Total_System_Load]]&gt;80%*AVERAGE(Table1[Total_System_Load]),Table1[[#This Row],[Total_System_Load]]-Table1[[#This Row],[Total_Children_Under_Care]],0)</f>
        <v>356</v>
      </c>
      <c r="M368" s="5">
        <f t="shared" si="25"/>
        <v>-13</v>
      </c>
      <c r="N368" s="5">
        <f>M369-Table1[[#This Row],[Net_Daily_Intake]]</f>
        <v>-37</v>
      </c>
      <c r="O368" s="5">
        <f>M369-Table1[[#This Row],[Net_Daily_Intake]]/Table1[[#This Row],[Net_Daily_Intake]]</f>
        <v>-51</v>
      </c>
      <c r="P368" t="str">
        <f>IF(Table1[[#This Row],[Change_in_Net_Daily_Intake]]&gt;0,"Sustained Positive","Negative")</f>
        <v>Negative</v>
      </c>
      <c r="Q368" s="1">
        <f>(Table1[[#This Row],[Total_System_Load]]-Table1[[#This Row],[Total_Children_Under_Care]])/Table1[[#This Row],[Total_Children_Under_Care]]*100</f>
        <v>5.8246073298429319</v>
      </c>
      <c r="R368" s="1">
        <f>(Table1[[#This Row],[Children_discharged _from_HHS_ Care]]/Table1[[#This Row],[Children_transferred_out_of_CBP_custody]])</f>
        <v>1.0822784810126582</v>
      </c>
    </row>
    <row r="369" spans="1:18" x14ac:dyDescent="0.3">
      <c r="A369">
        <v>368</v>
      </c>
      <c r="B369" s="7">
        <v>45489</v>
      </c>
      <c r="C369" s="5">
        <v>136</v>
      </c>
      <c r="D369" s="5">
        <v>246</v>
      </c>
      <c r="E369" s="5">
        <v>123</v>
      </c>
      <c r="F369" s="5">
        <v>6239</v>
      </c>
      <c r="G369" s="5">
        <v>173</v>
      </c>
      <c r="H369" t="str">
        <f t="shared" si="26"/>
        <v>Valid</v>
      </c>
      <c r="I369" t="str">
        <f t="shared" si="27"/>
        <v>Valid</v>
      </c>
      <c r="J369" s="5">
        <f t="shared" si="28"/>
        <v>6066</v>
      </c>
      <c r="K369" s="5">
        <f t="shared" si="29"/>
        <v>6485</v>
      </c>
      <c r="L369" s="5">
        <f>IF(Table1[[#This Row],[Total_System_Load]]&gt;80%*AVERAGE(Table1[Total_System_Load]),Table1[[#This Row],[Total_System_Load]]-Table1[[#This Row],[Total_Children_Under_Care]],0)</f>
        <v>419</v>
      </c>
      <c r="M369" s="5">
        <f t="shared" si="25"/>
        <v>-50</v>
      </c>
      <c r="N369" s="5">
        <f>M370-Table1[[#This Row],[Net_Daily_Intake]]</f>
        <v>40</v>
      </c>
      <c r="O369" s="5">
        <f>M370-Table1[[#This Row],[Net_Daily_Intake]]/Table1[[#This Row],[Net_Daily_Intake]]</f>
        <v>-11</v>
      </c>
      <c r="P369" t="str">
        <f>IF(Table1[[#This Row],[Change_in_Net_Daily_Intake]]&gt;0,"Sustained Positive","Negative")</f>
        <v>Sustained Positive</v>
      </c>
      <c r="Q369" s="1">
        <f>(Table1[[#This Row],[Total_System_Load]]-Table1[[#This Row],[Total_Children_Under_Care]])/Table1[[#This Row],[Total_Children_Under_Care]]*100</f>
        <v>6.9073524563138813</v>
      </c>
      <c r="R369" s="1">
        <f>(Table1[[#This Row],[Children_discharged _from_HHS_ Care]]/Table1[[#This Row],[Children_transferred_out_of_CBP_custody]])</f>
        <v>1.4065040650406504</v>
      </c>
    </row>
    <row r="370" spans="1:18" x14ac:dyDescent="0.3">
      <c r="A370">
        <v>369</v>
      </c>
      <c r="B370" s="7">
        <v>45490</v>
      </c>
      <c r="C370" s="5">
        <v>128</v>
      </c>
      <c r="D370" s="5">
        <v>228</v>
      </c>
      <c r="E370" s="5">
        <v>177</v>
      </c>
      <c r="F370" s="5">
        <v>6228</v>
      </c>
      <c r="G370" s="5">
        <v>187</v>
      </c>
      <c r="H370" t="str">
        <f t="shared" si="26"/>
        <v>Valid</v>
      </c>
      <c r="I370" t="str">
        <f t="shared" si="27"/>
        <v>Valid</v>
      </c>
      <c r="J370" s="5">
        <f t="shared" si="28"/>
        <v>6041</v>
      </c>
      <c r="K370" s="5">
        <f t="shared" si="29"/>
        <v>6456</v>
      </c>
      <c r="L370" s="5">
        <f>IF(Table1[[#This Row],[Total_System_Load]]&gt;80%*AVERAGE(Table1[Total_System_Load]),Table1[[#This Row],[Total_System_Load]]-Table1[[#This Row],[Total_Children_Under_Care]],0)</f>
        <v>415</v>
      </c>
      <c r="M370" s="5">
        <f t="shared" si="25"/>
        <v>-10</v>
      </c>
      <c r="N370" s="5">
        <f>M371-Table1[[#This Row],[Net_Daily_Intake]]</f>
        <v>-47</v>
      </c>
      <c r="O370" s="5">
        <f>M371-Table1[[#This Row],[Net_Daily_Intake]]/Table1[[#This Row],[Net_Daily_Intake]]</f>
        <v>-58</v>
      </c>
      <c r="P370" t="str">
        <f>IF(Table1[[#This Row],[Change_in_Net_Daily_Intake]]&gt;0,"Sustained Positive","Negative")</f>
        <v>Negative</v>
      </c>
      <c r="Q370" s="1">
        <f>(Table1[[#This Row],[Total_System_Load]]-Table1[[#This Row],[Total_Children_Under_Care]])/Table1[[#This Row],[Total_Children_Under_Care]]*100</f>
        <v>6.8697235557026977</v>
      </c>
      <c r="R370" s="1">
        <f>(Table1[[#This Row],[Children_discharged _from_HHS_ Care]]/Table1[[#This Row],[Children_transferred_out_of_CBP_custody]])</f>
        <v>1.0564971751412429</v>
      </c>
    </row>
    <row r="371" spans="1:18" x14ac:dyDescent="0.3">
      <c r="A371">
        <v>370</v>
      </c>
      <c r="B371" s="7">
        <v>45494</v>
      </c>
      <c r="C371" s="5">
        <v>90</v>
      </c>
      <c r="D371" s="5">
        <v>196</v>
      </c>
      <c r="E371" s="5">
        <v>205</v>
      </c>
      <c r="F371" s="5">
        <v>6058</v>
      </c>
      <c r="G371" s="5">
        <v>262</v>
      </c>
      <c r="H371" t="str">
        <f t="shared" si="26"/>
        <v>Invalid</v>
      </c>
      <c r="I371" t="str">
        <f t="shared" si="27"/>
        <v>Valid</v>
      </c>
      <c r="J371" s="5">
        <f t="shared" si="28"/>
        <v>5796</v>
      </c>
      <c r="K371" s="5">
        <f t="shared" si="29"/>
        <v>6254</v>
      </c>
      <c r="L371" s="5">
        <f>IF(Table1[[#This Row],[Total_System_Load]]&gt;80%*AVERAGE(Table1[Total_System_Load]),Table1[[#This Row],[Total_System_Load]]-Table1[[#This Row],[Total_Children_Under_Care]],0)</f>
        <v>458</v>
      </c>
      <c r="M371" s="5">
        <f t="shared" si="25"/>
        <v>-57</v>
      </c>
      <c r="N371" s="5">
        <f>M372-Table1[[#This Row],[Net_Daily_Intake]]</f>
        <v>-22</v>
      </c>
      <c r="O371" s="5">
        <f>M372-Table1[[#This Row],[Net_Daily_Intake]]/Table1[[#This Row],[Net_Daily_Intake]]</f>
        <v>-80</v>
      </c>
      <c r="P371" t="str">
        <f>IF(Table1[[#This Row],[Change_in_Net_Daily_Intake]]&gt;0,"Sustained Positive","Negative")</f>
        <v>Negative</v>
      </c>
      <c r="Q371" s="1">
        <f>(Table1[[#This Row],[Total_System_Load]]-Table1[[#This Row],[Total_Children_Under_Care]])/Table1[[#This Row],[Total_Children_Under_Care]]*100</f>
        <v>7.9020013802622495</v>
      </c>
      <c r="R371" s="1">
        <f>(Table1[[#This Row],[Children_discharged _from_HHS_ Care]]/Table1[[#This Row],[Children_transferred_out_of_CBP_custody]])</f>
        <v>1.2780487804878049</v>
      </c>
    </row>
    <row r="372" spans="1:18" x14ac:dyDescent="0.3">
      <c r="A372">
        <v>371</v>
      </c>
      <c r="B372" s="7">
        <v>45495</v>
      </c>
      <c r="C372" s="5">
        <v>102</v>
      </c>
      <c r="D372" s="5">
        <v>189</v>
      </c>
      <c r="E372" s="5">
        <v>155</v>
      </c>
      <c r="F372" s="5">
        <v>6002</v>
      </c>
      <c r="G372" s="5">
        <v>234</v>
      </c>
      <c r="H372" t="str">
        <f t="shared" si="26"/>
        <v>Valid</v>
      </c>
      <c r="I372" t="str">
        <f t="shared" si="27"/>
        <v>Valid</v>
      </c>
      <c r="J372" s="5">
        <f t="shared" si="28"/>
        <v>5768</v>
      </c>
      <c r="K372" s="5">
        <f t="shared" si="29"/>
        <v>6191</v>
      </c>
      <c r="L372" s="5">
        <f>IF(Table1[[#This Row],[Total_System_Load]]&gt;80%*AVERAGE(Table1[Total_System_Load]),Table1[[#This Row],[Total_System_Load]]-Table1[[#This Row],[Total_Children_Under_Care]],0)</f>
        <v>423</v>
      </c>
      <c r="M372" s="5">
        <f t="shared" si="25"/>
        <v>-79</v>
      </c>
      <c r="N372" s="5">
        <f>M373-Table1[[#This Row],[Net_Daily_Intake]]</f>
        <v>35</v>
      </c>
      <c r="O372" s="5">
        <f>M373-Table1[[#This Row],[Net_Daily_Intake]]/Table1[[#This Row],[Net_Daily_Intake]]</f>
        <v>-45</v>
      </c>
      <c r="P372" t="str">
        <f>IF(Table1[[#This Row],[Change_in_Net_Daily_Intake]]&gt;0,"Sustained Positive","Negative")</f>
        <v>Sustained Positive</v>
      </c>
      <c r="Q372" s="1">
        <f>(Table1[[#This Row],[Total_System_Load]]-Table1[[#This Row],[Total_Children_Under_Care]])/Table1[[#This Row],[Total_Children_Under_Care]]*100</f>
        <v>7.3335644937586677</v>
      </c>
      <c r="R372" s="1">
        <f>(Table1[[#This Row],[Children_discharged _from_HHS_ Care]]/Table1[[#This Row],[Children_transferred_out_of_CBP_custody]])</f>
        <v>1.5096774193548388</v>
      </c>
    </row>
    <row r="373" spans="1:18" x14ac:dyDescent="0.3">
      <c r="A373">
        <v>372</v>
      </c>
      <c r="B373" s="7">
        <v>45496</v>
      </c>
      <c r="C373" s="5">
        <v>120</v>
      </c>
      <c r="D373" s="5">
        <v>257</v>
      </c>
      <c r="E373" s="5">
        <v>126</v>
      </c>
      <c r="F373" s="5">
        <v>5965</v>
      </c>
      <c r="G373" s="5">
        <v>170</v>
      </c>
      <c r="H373" t="str">
        <f t="shared" si="26"/>
        <v>Valid</v>
      </c>
      <c r="I373" t="str">
        <f t="shared" si="27"/>
        <v>Valid</v>
      </c>
      <c r="J373" s="5">
        <f t="shared" si="28"/>
        <v>5795</v>
      </c>
      <c r="K373" s="5">
        <f t="shared" si="29"/>
        <v>6222</v>
      </c>
      <c r="L373" s="5">
        <f>IF(Table1[[#This Row],[Total_System_Load]]&gt;80%*AVERAGE(Table1[Total_System_Load]),Table1[[#This Row],[Total_System_Load]]-Table1[[#This Row],[Total_Children_Under_Care]],0)</f>
        <v>427</v>
      </c>
      <c r="M373" s="5">
        <f t="shared" si="25"/>
        <v>-44</v>
      </c>
      <c r="N373" s="5">
        <f>M374-Table1[[#This Row],[Net_Daily_Intake]]</f>
        <v>33</v>
      </c>
      <c r="O373" s="5">
        <f>M374-Table1[[#This Row],[Net_Daily_Intake]]/Table1[[#This Row],[Net_Daily_Intake]]</f>
        <v>-12</v>
      </c>
      <c r="P373" t="str">
        <f>IF(Table1[[#This Row],[Change_in_Net_Daily_Intake]]&gt;0,"Sustained Positive","Negative")</f>
        <v>Sustained Positive</v>
      </c>
      <c r="Q373" s="1">
        <f>(Table1[[#This Row],[Total_System_Load]]-Table1[[#This Row],[Total_Children_Under_Care]])/Table1[[#This Row],[Total_Children_Under_Care]]*100</f>
        <v>7.3684210526315779</v>
      </c>
      <c r="R373" s="1">
        <f>(Table1[[#This Row],[Children_discharged _from_HHS_ Care]]/Table1[[#This Row],[Children_transferred_out_of_CBP_custody]])</f>
        <v>1.3492063492063493</v>
      </c>
    </row>
    <row r="374" spans="1:18" x14ac:dyDescent="0.3">
      <c r="A374">
        <v>373</v>
      </c>
      <c r="B374" s="7">
        <v>45497</v>
      </c>
      <c r="C374" s="5">
        <v>137</v>
      </c>
      <c r="D374" s="5">
        <v>272</v>
      </c>
      <c r="E374" s="5">
        <v>166</v>
      </c>
      <c r="F374" s="5">
        <v>5927</v>
      </c>
      <c r="G374" s="5">
        <v>177</v>
      </c>
      <c r="H374" t="str">
        <f t="shared" si="26"/>
        <v>Valid</v>
      </c>
      <c r="I374" t="str">
        <f t="shared" si="27"/>
        <v>Valid</v>
      </c>
      <c r="J374" s="5">
        <f t="shared" si="28"/>
        <v>5750</v>
      </c>
      <c r="K374" s="5">
        <f t="shared" si="29"/>
        <v>6199</v>
      </c>
      <c r="L374" s="5">
        <f>IF(Table1[[#This Row],[Total_System_Load]]&gt;80%*AVERAGE(Table1[Total_System_Load]),Table1[[#This Row],[Total_System_Load]]-Table1[[#This Row],[Total_Children_Under_Care]],0)</f>
        <v>449</v>
      </c>
      <c r="M374" s="5">
        <f t="shared" si="25"/>
        <v>-11</v>
      </c>
      <c r="N374" s="5">
        <f>M375-Table1[[#This Row],[Net_Daily_Intake]]</f>
        <v>25</v>
      </c>
      <c r="O374" s="5">
        <f>M375-Table1[[#This Row],[Net_Daily_Intake]]/Table1[[#This Row],[Net_Daily_Intake]]</f>
        <v>13</v>
      </c>
      <c r="P374" t="str">
        <f>IF(Table1[[#This Row],[Change_in_Net_Daily_Intake]]&gt;0,"Sustained Positive","Negative")</f>
        <v>Sustained Positive</v>
      </c>
      <c r="Q374" s="1">
        <f>(Table1[[#This Row],[Total_System_Load]]-Table1[[#This Row],[Total_Children_Under_Care]])/Table1[[#This Row],[Total_Children_Under_Care]]*100</f>
        <v>7.8086956521739133</v>
      </c>
      <c r="R374" s="1">
        <f>(Table1[[#This Row],[Children_discharged _from_HHS_ Care]]/Table1[[#This Row],[Children_transferred_out_of_CBP_custody]])</f>
        <v>1.0662650602409638</v>
      </c>
    </row>
    <row r="375" spans="1:18" x14ac:dyDescent="0.3">
      <c r="A375">
        <v>374</v>
      </c>
      <c r="B375" s="7">
        <v>45498</v>
      </c>
      <c r="C375" s="5">
        <v>93</v>
      </c>
      <c r="D375" s="5">
        <v>198</v>
      </c>
      <c r="E375" s="5">
        <v>208</v>
      </c>
      <c r="F375" s="5">
        <v>5954</v>
      </c>
      <c r="G375" s="5">
        <v>194</v>
      </c>
      <c r="H375" t="str">
        <f t="shared" si="26"/>
        <v>Invalid</v>
      </c>
      <c r="I375" t="str">
        <f t="shared" si="27"/>
        <v>Valid</v>
      </c>
      <c r="J375" s="5">
        <f t="shared" si="28"/>
        <v>5760</v>
      </c>
      <c r="K375" s="5">
        <f t="shared" si="29"/>
        <v>6152</v>
      </c>
      <c r="L375" s="5">
        <f>IF(Table1[[#This Row],[Total_System_Load]]&gt;80%*AVERAGE(Table1[Total_System_Load]),Table1[[#This Row],[Total_System_Load]]-Table1[[#This Row],[Total_Children_Under_Care]],0)</f>
        <v>392</v>
      </c>
      <c r="M375" s="5">
        <f t="shared" si="25"/>
        <v>14</v>
      </c>
      <c r="N375" s="5">
        <f>M376-Table1[[#This Row],[Net_Daily_Intake]]</f>
        <v>-22</v>
      </c>
      <c r="O375" s="5">
        <f>M376-Table1[[#This Row],[Net_Daily_Intake]]/Table1[[#This Row],[Net_Daily_Intake]]</f>
        <v>-9</v>
      </c>
      <c r="P375" t="str">
        <f>IF(Table1[[#This Row],[Change_in_Net_Daily_Intake]]&gt;0,"Sustained Positive","Negative")</f>
        <v>Negative</v>
      </c>
      <c r="Q375" s="1">
        <f>(Table1[[#This Row],[Total_System_Load]]-Table1[[#This Row],[Total_Children_Under_Care]])/Table1[[#This Row],[Total_Children_Under_Care]]*100</f>
        <v>6.8055555555555554</v>
      </c>
      <c r="R375" s="1">
        <f>(Table1[[#This Row],[Children_discharged _from_HHS_ Care]]/Table1[[#This Row],[Children_transferred_out_of_CBP_custody]])</f>
        <v>0.93269230769230771</v>
      </c>
    </row>
    <row r="376" spans="1:18" x14ac:dyDescent="0.3">
      <c r="A376">
        <v>375</v>
      </c>
      <c r="B376" s="7">
        <v>45501</v>
      </c>
      <c r="C376" s="5">
        <v>152</v>
      </c>
      <c r="D376" s="5">
        <v>290</v>
      </c>
      <c r="E376" s="5">
        <v>199</v>
      </c>
      <c r="F376" s="5">
        <v>5743</v>
      </c>
      <c r="G376" s="5">
        <v>207</v>
      </c>
      <c r="H376" t="str">
        <f t="shared" si="26"/>
        <v>Valid</v>
      </c>
      <c r="I376" t="str">
        <f t="shared" si="27"/>
        <v>Valid</v>
      </c>
      <c r="J376" s="5">
        <f t="shared" si="28"/>
        <v>5536</v>
      </c>
      <c r="K376" s="5">
        <f t="shared" si="29"/>
        <v>6033</v>
      </c>
      <c r="L376" s="5">
        <f>IF(Table1[[#This Row],[Total_System_Load]]&gt;80%*AVERAGE(Table1[Total_System_Load]),Table1[[#This Row],[Total_System_Load]]-Table1[[#This Row],[Total_Children_Under_Care]],0)</f>
        <v>497</v>
      </c>
      <c r="M376" s="5">
        <f t="shared" si="25"/>
        <v>-8</v>
      </c>
      <c r="N376" s="5">
        <f>M377-Table1[[#This Row],[Net_Daily_Intake]]</f>
        <v>64</v>
      </c>
      <c r="O376" s="5">
        <f>M377-Table1[[#This Row],[Net_Daily_Intake]]/Table1[[#This Row],[Net_Daily_Intake]]</f>
        <v>55</v>
      </c>
      <c r="P376" t="str">
        <f>IF(Table1[[#This Row],[Change_in_Net_Daily_Intake]]&gt;0,"Sustained Positive","Negative")</f>
        <v>Sustained Positive</v>
      </c>
      <c r="Q376" s="1">
        <f>(Table1[[#This Row],[Total_System_Load]]-Table1[[#This Row],[Total_Children_Under_Care]])/Table1[[#This Row],[Total_Children_Under_Care]]*100</f>
        <v>8.9776011560693654</v>
      </c>
      <c r="R376" s="1">
        <f>(Table1[[#This Row],[Children_discharged _from_HHS_ Care]]/Table1[[#This Row],[Children_transferred_out_of_CBP_custody]])</f>
        <v>1.0402010050251256</v>
      </c>
    </row>
    <row r="377" spans="1:18" x14ac:dyDescent="0.3">
      <c r="A377">
        <v>376</v>
      </c>
      <c r="B377" s="7">
        <v>45502</v>
      </c>
      <c r="C377" s="5">
        <v>114</v>
      </c>
      <c r="D377" s="5">
        <v>210</v>
      </c>
      <c r="E377" s="5">
        <v>219</v>
      </c>
      <c r="F377" s="5">
        <v>5819</v>
      </c>
      <c r="G377" s="5">
        <v>163</v>
      </c>
      <c r="H377" t="str">
        <f t="shared" si="26"/>
        <v>Invalid</v>
      </c>
      <c r="I377" t="str">
        <f t="shared" si="27"/>
        <v>Valid</v>
      </c>
      <c r="J377" s="5">
        <f t="shared" si="28"/>
        <v>5656</v>
      </c>
      <c r="K377" s="5">
        <f t="shared" si="29"/>
        <v>6029</v>
      </c>
      <c r="L377" s="5">
        <f>IF(Table1[[#This Row],[Total_System_Load]]&gt;80%*AVERAGE(Table1[Total_System_Load]),Table1[[#This Row],[Total_System_Load]]-Table1[[#This Row],[Total_Children_Under_Care]],0)</f>
        <v>373</v>
      </c>
      <c r="M377" s="5">
        <f t="shared" si="25"/>
        <v>56</v>
      </c>
      <c r="N377" s="5">
        <f>M378-Table1[[#This Row],[Net_Daily_Intake]]</f>
        <v>60</v>
      </c>
      <c r="O377" s="5">
        <f>M378-Table1[[#This Row],[Net_Daily_Intake]]/Table1[[#This Row],[Net_Daily_Intake]]</f>
        <v>115</v>
      </c>
      <c r="P377" t="str">
        <f>IF(Table1[[#This Row],[Change_in_Net_Daily_Intake]]&gt;0,"Sustained Positive","Negative")</f>
        <v>Sustained Positive</v>
      </c>
      <c r="Q377" s="1">
        <f>(Table1[[#This Row],[Total_System_Load]]-Table1[[#This Row],[Total_Children_Under_Care]])/Table1[[#This Row],[Total_Children_Under_Care]]*100</f>
        <v>6.5947666195190946</v>
      </c>
      <c r="R377" s="1">
        <f>(Table1[[#This Row],[Children_discharged _from_HHS_ Care]]/Table1[[#This Row],[Children_transferred_out_of_CBP_custody]])</f>
        <v>0.74429223744292239</v>
      </c>
    </row>
    <row r="378" spans="1:18" x14ac:dyDescent="0.3">
      <c r="A378">
        <v>377</v>
      </c>
      <c r="B378" s="7">
        <v>45503</v>
      </c>
      <c r="C378" s="5">
        <v>125</v>
      </c>
      <c r="D378" s="5">
        <v>203</v>
      </c>
      <c r="E378" s="5">
        <v>208</v>
      </c>
      <c r="F378" s="5">
        <v>5930</v>
      </c>
      <c r="G378" s="5">
        <v>92</v>
      </c>
      <c r="H378" t="str">
        <f t="shared" si="26"/>
        <v>Invalid</v>
      </c>
      <c r="I378" t="str">
        <f t="shared" si="27"/>
        <v>Valid</v>
      </c>
      <c r="J378" s="5">
        <f t="shared" si="28"/>
        <v>5838</v>
      </c>
      <c r="K378" s="5">
        <f t="shared" si="29"/>
        <v>6133</v>
      </c>
      <c r="L378" s="5">
        <f>IF(Table1[[#This Row],[Total_System_Load]]&gt;80%*AVERAGE(Table1[Total_System_Load]),Table1[[#This Row],[Total_System_Load]]-Table1[[#This Row],[Total_Children_Under_Care]],0)</f>
        <v>295</v>
      </c>
      <c r="M378" s="5">
        <f t="shared" si="25"/>
        <v>116</v>
      </c>
      <c r="N378" s="5">
        <f>M379-Table1[[#This Row],[Net_Daily_Intake]]</f>
        <v>-107</v>
      </c>
      <c r="O378" s="5">
        <f>M379-Table1[[#This Row],[Net_Daily_Intake]]/Table1[[#This Row],[Net_Daily_Intake]]</f>
        <v>8</v>
      </c>
      <c r="P378" t="str">
        <f>IF(Table1[[#This Row],[Change_in_Net_Daily_Intake]]&gt;0,"Sustained Positive","Negative")</f>
        <v>Negative</v>
      </c>
      <c r="Q378" s="1">
        <f>(Table1[[#This Row],[Total_System_Load]]-Table1[[#This Row],[Total_Children_Under_Care]])/Table1[[#This Row],[Total_Children_Under_Care]]*100</f>
        <v>5.0531003768413836</v>
      </c>
      <c r="R378" s="1">
        <f>(Table1[[#This Row],[Children_discharged _from_HHS_ Care]]/Table1[[#This Row],[Children_transferred_out_of_CBP_custody]])</f>
        <v>0.44230769230769229</v>
      </c>
    </row>
    <row r="379" spans="1:18" x14ac:dyDescent="0.3">
      <c r="A379">
        <v>378</v>
      </c>
      <c r="B379" s="7">
        <v>45504</v>
      </c>
      <c r="C379" s="5">
        <v>140</v>
      </c>
      <c r="D379" s="5">
        <v>261</v>
      </c>
      <c r="E379" s="5">
        <v>163</v>
      </c>
      <c r="F379" s="5">
        <v>5963</v>
      </c>
      <c r="G379" s="5">
        <v>154</v>
      </c>
      <c r="H379" t="str">
        <f t="shared" si="26"/>
        <v>Valid</v>
      </c>
      <c r="I379" t="str">
        <f t="shared" si="27"/>
        <v>Valid</v>
      </c>
      <c r="J379" s="5">
        <f t="shared" si="28"/>
        <v>5809</v>
      </c>
      <c r="K379" s="5">
        <f t="shared" si="29"/>
        <v>6224</v>
      </c>
      <c r="L379" s="5">
        <f>IF(Table1[[#This Row],[Total_System_Load]]&gt;80%*AVERAGE(Table1[Total_System_Load]),Table1[[#This Row],[Total_System_Load]]-Table1[[#This Row],[Total_Children_Under_Care]],0)</f>
        <v>415</v>
      </c>
      <c r="M379" s="5">
        <f t="shared" si="25"/>
        <v>9</v>
      </c>
      <c r="N379" s="5">
        <f>M380-Table1[[#This Row],[Net_Daily_Intake]]</f>
        <v>34</v>
      </c>
      <c r="O379" s="5">
        <f>M380-Table1[[#This Row],[Net_Daily_Intake]]/Table1[[#This Row],[Net_Daily_Intake]]</f>
        <v>42</v>
      </c>
      <c r="P379" t="str">
        <f>IF(Table1[[#This Row],[Change_in_Net_Daily_Intake]]&gt;0,"Sustained Positive","Negative")</f>
        <v>Sustained Positive</v>
      </c>
      <c r="Q379" s="1">
        <f>(Table1[[#This Row],[Total_System_Load]]-Table1[[#This Row],[Total_Children_Under_Care]])/Table1[[#This Row],[Total_Children_Under_Care]]*100</f>
        <v>7.1440867619211561</v>
      </c>
      <c r="R379" s="1">
        <f>(Table1[[#This Row],[Children_discharged _from_HHS_ Care]]/Table1[[#This Row],[Children_transferred_out_of_CBP_custody]])</f>
        <v>0.94478527607361962</v>
      </c>
    </row>
    <row r="380" spans="1:18" x14ac:dyDescent="0.3">
      <c r="A380">
        <v>379</v>
      </c>
      <c r="B380" s="7">
        <v>45505</v>
      </c>
      <c r="C380" s="5">
        <v>227</v>
      </c>
      <c r="D380" s="5">
        <v>298</v>
      </c>
      <c r="E380" s="5">
        <v>212</v>
      </c>
      <c r="F380" s="5">
        <v>6016</v>
      </c>
      <c r="G380" s="5">
        <v>169</v>
      </c>
      <c r="H380" t="str">
        <f t="shared" si="26"/>
        <v>Valid</v>
      </c>
      <c r="I380" t="str">
        <f t="shared" si="27"/>
        <v>Valid</v>
      </c>
      <c r="J380" s="5">
        <f t="shared" si="28"/>
        <v>5847</v>
      </c>
      <c r="K380" s="5">
        <f t="shared" si="29"/>
        <v>6314</v>
      </c>
      <c r="L380" s="5">
        <f>IF(Table1[[#This Row],[Total_System_Load]]&gt;80%*AVERAGE(Table1[Total_System_Load]),Table1[[#This Row],[Total_System_Load]]-Table1[[#This Row],[Total_Children_Under_Care]],0)</f>
        <v>467</v>
      </c>
      <c r="M380" s="5">
        <f t="shared" si="25"/>
        <v>43</v>
      </c>
      <c r="N380" s="5">
        <f>M381-Table1[[#This Row],[Net_Daily_Intake]]</f>
        <v>-70</v>
      </c>
      <c r="O380" s="5">
        <f>M381-Table1[[#This Row],[Net_Daily_Intake]]/Table1[[#This Row],[Net_Daily_Intake]]</f>
        <v>-28</v>
      </c>
      <c r="P380" t="str">
        <f>IF(Table1[[#This Row],[Change_in_Net_Daily_Intake]]&gt;0,"Sustained Positive","Negative")</f>
        <v>Negative</v>
      </c>
      <c r="Q380" s="1">
        <f>(Table1[[#This Row],[Total_System_Load]]-Table1[[#This Row],[Total_Children_Under_Care]])/Table1[[#This Row],[Total_Children_Under_Care]]*100</f>
        <v>7.9870018813066528</v>
      </c>
      <c r="R380" s="1">
        <f>(Table1[[#This Row],[Children_discharged _from_HHS_ Care]]/Table1[[#This Row],[Children_transferred_out_of_CBP_custody]])</f>
        <v>0.79716981132075471</v>
      </c>
    </row>
    <row r="381" spans="1:18" x14ac:dyDescent="0.3">
      <c r="A381">
        <v>380</v>
      </c>
      <c r="B381" s="7">
        <v>45508</v>
      </c>
      <c r="C381" s="5">
        <v>63</v>
      </c>
      <c r="D381" s="5">
        <v>167</v>
      </c>
      <c r="E381" s="5">
        <v>143</v>
      </c>
      <c r="F381" s="5">
        <v>5943</v>
      </c>
      <c r="G381" s="5">
        <v>170</v>
      </c>
      <c r="H381" t="str">
        <f t="shared" si="26"/>
        <v>Valid</v>
      </c>
      <c r="I381" t="str">
        <f t="shared" si="27"/>
        <v>Valid</v>
      </c>
      <c r="J381" s="5">
        <f t="shared" si="28"/>
        <v>5773</v>
      </c>
      <c r="K381" s="5">
        <f t="shared" si="29"/>
        <v>6110</v>
      </c>
      <c r="L381" s="5">
        <f>IF(Table1[[#This Row],[Total_System_Load]]&gt;80%*AVERAGE(Table1[Total_System_Load]),Table1[[#This Row],[Total_System_Load]]-Table1[[#This Row],[Total_Children_Under_Care]],0)</f>
        <v>337</v>
      </c>
      <c r="M381" s="5">
        <f t="shared" si="25"/>
        <v>-27</v>
      </c>
      <c r="N381" s="5">
        <f>M382-Table1[[#This Row],[Net_Daily_Intake]]</f>
        <v>15</v>
      </c>
      <c r="O381" s="5">
        <f>M382-Table1[[#This Row],[Net_Daily_Intake]]/Table1[[#This Row],[Net_Daily_Intake]]</f>
        <v>-13</v>
      </c>
      <c r="P381" t="str">
        <f>IF(Table1[[#This Row],[Change_in_Net_Daily_Intake]]&gt;0,"Sustained Positive","Negative")</f>
        <v>Sustained Positive</v>
      </c>
      <c r="Q381" s="1">
        <f>(Table1[[#This Row],[Total_System_Load]]-Table1[[#This Row],[Total_Children_Under_Care]])/Table1[[#This Row],[Total_Children_Under_Care]]*100</f>
        <v>5.8375194872683185</v>
      </c>
      <c r="R381" s="1">
        <f>(Table1[[#This Row],[Children_discharged _from_HHS_ Care]]/Table1[[#This Row],[Children_transferred_out_of_CBP_custody]])</f>
        <v>1.1888111888111887</v>
      </c>
    </row>
    <row r="382" spans="1:18" x14ac:dyDescent="0.3">
      <c r="A382">
        <v>381</v>
      </c>
      <c r="B382" s="7">
        <v>45509</v>
      </c>
      <c r="C382" s="5">
        <v>172</v>
      </c>
      <c r="D382" s="5">
        <v>259</v>
      </c>
      <c r="E382" s="5">
        <v>138</v>
      </c>
      <c r="F382" s="5">
        <v>5950</v>
      </c>
      <c r="G382" s="5">
        <v>150</v>
      </c>
      <c r="H382" t="str">
        <f t="shared" si="26"/>
        <v>Valid</v>
      </c>
      <c r="I382" t="str">
        <f t="shared" si="27"/>
        <v>Valid</v>
      </c>
      <c r="J382" s="5">
        <f t="shared" si="28"/>
        <v>5800</v>
      </c>
      <c r="K382" s="5">
        <f t="shared" si="29"/>
        <v>6209</v>
      </c>
      <c r="L382" s="5">
        <f>IF(Table1[[#This Row],[Total_System_Load]]&gt;80%*AVERAGE(Table1[Total_System_Load]),Table1[[#This Row],[Total_System_Load]]-Table1[[#This Row],[Total_Children_Under_Care]],0)</f>
        <v>409</v>
      </c>
      <c r="M382" s="5">
        <f t="shared" si="25"/>
        <v>-12</v>
      </c>
      <c r="N382" s="5">
        <f>M383-Table1[[#This Row],[Net_Daily_Intake]]</f>
        <v>69</v>
      </c>
      <c r="O382" s="5">
        <f>M383-Table1[[#This Row],[Net_Daily_Intake]]/Table1[[#This Row],[Net_Daily_Intake]]</f>
        <v>56</v>
      </c>
      <c r="P382" t="str">
        <f>IF(Table1[[#This Row],[Change_in_Net_Daily_Intake]]&gt;0,"Sustained Positive","Negative")</f>
        <v>Sustained Positive</v>
      </c>
      <c r="Q382" s="1">
        <f>(Table1[[#This Row],[Total_System_Load]]-Table1[[#This Row],[Total_Children_Under_Care]])/Table1[[#This Row],[Total_Children_Under_Care]]*100</f>
        <v>7.0517241379310338</v>
      </c>
      <c r="R382" s="1">
        <f>(Table1[[#This Row],[Children_discharged _from_HHS_ Care]]/Table1[[#This Row],[Children_transferred_out_of_CBP_custody]])</f>
        <v>1.0869565217391304</v>
      </c>
    </row>
    <row r="383" spans="1:18" x14ac:dyDescent="0.3">
      <c r="A383">
        <v>382</v>
      </c>
      <c r="B383" s="7">
        <v>45510</v>
      </c>
      <c r="C383" s="5">
        <v>163</v>
      </c>
      <c r="D383" s="5">
        <v>283</v>
      </c>
      <c r="E383" s="5">
        <v>200</v>
      </c>
      <c r="F383" s="5">
        <v>5998</v>
      </c>
      <c r="G383" s="5">
        <v>143</v>
      </c>
      <c r="H383" t="str">
        <f t="shared" si="26"/>
        <v>Valid</v>
      </c>
      <c r="I383" t="str">
        <f t="shared" si="27"/>
        <v>Valid</v>
      </c>
      <c r="J383" s="5">
        <f t="shared" si="28"/>
        <v>5855</v>
      </c>
      <c r="K383" s="5">
        <f t="shared" si="29"/>
        <v>6281</v>
      </c>
      <c r="L383" s="5">
        <f>IF(Table1[[#This Row],[Total_System_Load]]&gt;80%*AVERAGE(Table1[Total_System_Load]),Table1[[#This Row],[Total_System_Load]]-Table1[[#This Row],[Total_Children_Under_Care]],0)</f>
        <v>426</v>
      </c>
      <c r="M383" s="5">
        <f t="shared" si="25"/>
        <v>57</v>
      </c>
      <c r="N383" s="5">
        <f>M384-Table1[[#This Row],[Net_Daily_Intake]]</f>
        <v>-24</v>
      </c>
      <c r="O383" s="5">
        <f>M384-Table1[[#This Row],[Net_Daily_Intake]]/Table1[[#This Row],[Net_Daily_Intake]]</f>
        <v>32</v>
      </c>
      <c r="P383" t="str">
        <f>IF(Table1[[#This Row],[Change_in_Net_Daily_Intake]]&gt;0,"Sustained Positive","Negative")</f>
        <v>Negative</v>
      </c>
      <c r="Q383" s="1">
        <f>(Table1[[#This Row],[Total_System_Load]]-Table1[[#This Row],[Total_Children_Under_Care]])/Table1[[#This Row],[Total_Children_Under_Care]]*100</f>
        <v>7.2758326216908626</v>
      </c>
      <c r="R383" s="1">
        <f>(Table1[[#This Row],[Children_discharged _from_HHS_ Care]]/Table1[[#This Row],[Children_transferred_out_of_CBP_custody]])</f>
        <v>0.71499999999999997</v>
      </c>
    </row>
    <row r="384" spans="1:18" x14ac:dyDescent="0.3">
      <c r="A384">
        <v>383</v>
      </c>
      <c r="B384" s="7">
        <v>45511</v>
      </c>
      <c r="C384" s="5">
        <v>135</v>
      </c>
      <c r="D384" s="5">
        <v>273</v>
      </c>
      <c r="E384" s="5">
        <v>207</v>
      </c>
      <c r="F384" s="5">
        <v>6038</v>
      </c>
      <c r="G384" s="5">
        <v>174</v>
      </c>
      <c r="H384" t="str">
        <f t="shared" si="26"/>
        <v>Valid</v>
      </c>
      <c r="I384" t="str">
        <f t="shared" si="27"/>
        <v>Valid</v>
      </c>
      <c r="J384" s="5">
        <f t="shared" si="28"/>
        <v>5864</v>
      </c>
      <c r="K384" s="5">
        <f t="shared" si="29"/>
        <v>6311</v>
      </c>
      <c r="L384" s="5">
        <f>IF(Table1[[#This Row],[Total_System_Load]]&gt;80%*AVERAGE(Table1[Total_System_Load]),Table1[[#This Row],[Total_System_Load]]-Table1[[#This Row],[Total_Children_Under_Care]],0)</f>
        <v>447</v>
      </c>
      <c r="M384" s="5">
        <f t="shared" si="25"/>
        <v>33</v>
      </c>
      <c r="N384" s="5">
        <f>M385-Table1[[#This Row],[Net_Daily_Intake]]</f>
        <v>6</v>
      </c>
      <c r="O384" s="5">
        <f>M385-Table1[[#This Row],[Net_Daily_Intake]]/Table1[[#This Row],[Net_Daily_Intake]]</f>
        <v>38</v>
      </c>
      <c r="P384" t="str">
        <f>IF(Table1[[#This Row],[Change_in_Net_Daily_Intake]]&gt;0,"Sustained Positive","Negative")</f>
        <v>Sustained Positive</v>
      </c>
      <c r="Q384" s="1">
        <f>(Table1[[#This Row],[Total_System_Load]]-Table1[[#This Row],[Total_Children_Under_Care]])/Table1[[#This Row],[Total_Children_Under_Care]]*100</f>
        <v>7.6227830832196446</v>
      </c>
      <c r="R384" s="1">
        <f>(Table1[[#This Row],[Children_discharged _from_HHS_ Care]]/Table1[[#This Row],[Children_transferred_out_of_CBP_custody]])</f>
        <v>0.84057971014492749</v>
      </c>
    </row>
    <row r="385" spans="1:18" x14ac:dyDescent="0.3">
      <c r="A385">
        <v>384</v>
      </c>
      <c r="B385" s="7">
        <v>45512</v>
      </c>
      <c r="C385" s="5">
        <v>119</v>
      </c>
      <c r="D385" s="5">
        <v>230</v>
      </c>
      <c r="E385" s="5">
        <v>213</v>
      </c>
      <c r="F385" s="5">
        <v>6084</v>
      </c>
      <c r="G385" s="5">
        <v>174</v>
      </c>
      <c r="H385" t="str">
        <f t="shared" si="26"/>
        <v>Valid</v>
      </c>
      <c r="I385" t="str">
        <f t="shared" si="27"/>
        <v>Valid</v>
      </c>
      <c r="J385" s="5">
        <f t="shared" si="28"/>
        <v>5910</v>
      </c>
      <c r="K385" s="5">
        <f t="shared" si="29"/>
        <v>6314</v>
      </c>
      <c r="L385" s="5">
        <f>IF(Table1[[#This Row],[Total_System_Load]]&gt;80%*AVERAGE(Table1[Total_System_Load]),Table1[[#This Row],[Total_System_Load]]-Table1[[#This Row],[Total_Children_Under_Care]],0)</f>
        <v>404</v>
      </c>
      <c r="M385" s="5">
        <f t="shared" si="25"/>
        <v>39</v>
      </c>
      <c r="N385" s="5">
        <f>M386-Table1[[#This Row],[Net_Daily_Intake]]</f>
        <v>-148</v>
      </c>
      <c r="O385" s="5">
        <f>M386-Table1[[#This Row],[Net_Daily_Intake]]/Table1[[#This Row],[Net_Daily_Intake]]</f>
        <v>-110</v>
      </c>
      <c r="P385" t="str">
        <f>IF(Table1[[#This Row],[Change_in_Net_Daily_Intake]]&gt;0,"Sustained Positive","Negative")</f>
        <v>Negative</v>
      </c>
      <c r="Q385" s="1">
        <f>(Table1[[#This Row],[Total_System_Load]]-Table1[[#This Row],[Total_Children_Under_Care]])/Table1[[#This Row],[Total_Children_Under_Care]]*100</f>
        <v>6.8358714043993229</v>
      </c>
      <c r="R385" s="1">
        <f>(Table1[[#This Row],[Children_discharged _from_HHS_ Care]]/Table1[[#This Row],[Children_transferred_out_of_CBP_custody]])</f>
        <v>0.81690140845070425</v>
      </c>
    </row>
    <row r="386" spans="1:18" x14ac:dyDescent="0.3">
      <c r="A386">
        <v>385</v>
      </c>
      <c r="B386" s="7">
        <v>45515</v>
      </c>
      <c r="C386" s="5">
        <v>95</v>
      </c>
      <c r="D386" s="5">
        <v>211</v>
      </c>
      <c r="E386" s="5">
        <v>140</v>
      </c>
      <c r="F386" s="5">
        <v>5894</v>
      </c>
      <c r="G386" s="5">
        <v>249</v>
      </c>
      <c r="H386" t="str">
        <f t="shared" si="26"/>
        <v>Valid</v>
      </c>
      <c r="I386" t="str">
        <f t="shared" si="27"/>
        <v>Valid</v>
      </c>
      <c r="J386" s="5">
        <f t="shared" si="28"/>
        <v>5645</v>
      </c>
      <c r="K386" s="5">
        <f t="shared" si="29"/>
        <v>6105</v>
      </c>
      <c r="L386" s="5">
        <f>IF(Table1[[#This Row],[Total_System_Load]]&gt;80%*AVERAGE(Table1[Total_System_Load]),Table1[[#This Row],[Total_System_Load]]-Table1[[#This Row],[Total_Children_Under_Care]],0)</f>
        <v>460</v>
      </c>
      <c r="M386" s="5">
        <f t="shared" ref="M386:M449" si="30">E386-G386</f>
        <v>-109</v>
      </c>
      <c r="N386" s="5">
        <f>M387-Table1[[#This Row],[Net_Daily_Intake]]</f>
        <v>116</v>
      </c>
      <c r="O386" s="5">
        <f>M387-Table1[[#This Row],[Net_Daily_Intake]]/Table1[[#This Row],[Net_Daily_Intake]]</f>
        <v>6</v>
      </c>
      <c r="P386" t="str">
        <f>IF(Table1[[#This Row],[Change_in_Net_Daily_Intake]]&gt;0,"Sustained Positive","Negative")</f>
        <v>Sustained Positive</v>
      </c>
      <c r="Q386" s="1">
        <f>(Table1[[#This Row],[Total_System_Load]]-Table1[[#This Row],[Total_Children_Under_Care]])/Table1[[#This Row],[Total_Children_Under_Care]]*100</f>
        <v>8.148804251550045</v>
      </c>
      <c r="R386" s="1">
        <f>(Table1[[#This Row],[Children_discharged _from_HHS_ Care]]/Table1[[#This Row],[Children_transferred_out_of_CBP_custody]])</f>
        <v>1.7785714285714285</v>
      </c>
    </row>
    <row r="387" spans="1:18" x14ac:dyDescent="0.3">
      <c r="A387">
        <v>386</v>
      </c>
      <c r="B387" s="7">
        <v>45516</v>
      </c>
      <c r="C387" s="5">
        <v>109</v>
      </c>
      <c r="D387" s="5">
        <v>219</v>
      </c>
      <c r="E387" s="5">
        <v>155</v>
      </c>
      <c r="F387" s="5">
        <v>5903</v>
      </c>
      <c r="G387" s="5">
        <v>148</v>
      </c>
      <c r="H387" t="str">
        <f t="shared" ref="H387:H450" si="31">IF(E387&lt;=D387,"Valid","Invalid")</f>
        <v>Valid</v>
      </c>
      <c r="I387" t="str">
        <f t="shared" ref="I387:I450" si="32">IF(G387&lt;=F387,"Valid","Invalid")</f>
        <v>Valid</v>
      </c>
      <c r="J387" s="5">
        <f t="shared" ref="J387:J450" si="33">F387-G387</f>
        <v>5755</v>
      </c>
      <c r="K387" s="5">
        <f t="shared" ref="K387:K450" si="34">D387+F387</f>
        <v>6122</v>
      </c>
      <c r="L387" s="5">
        <f>IF(Table1[[#This Row],[Total_System_Load]]&gt;80%*AVERAGE(Table1[Total_System_Load]),Table1[[#This Row],[Total_System_Load]]-Table1[[#This Row],[Total_Children_Under_Care]],0)</f>
        <v>367</v>
      </c>
      <c r="M387" s="5">
        <f t="shared" si="30"/>
        <v>7</v>
      </c>
      <c r="N387" s="5">
        <f>M388-Table1[[#This Row],[Net_Daily_Intake]]</f>
        <v>59</v>
      </c>
      <c r="O387" s="5">
        <f>M388-Table1[[#This Row],[Net_Daily_Intake]]/Table1[[#This Row],[Net_Daily_Intake]]</f>
        <v>65</v>
      </c>
      <c r="P387" t="str">
        <f>IF(Table1[[#This Row],[Change_in_Net_Daily_Intake]]&gt;0,"Sustained Positive","Negative")</f>
        <v>Sustained Positive</v>
      </c>
      <c r="Q387" s="1">
        <f>(Table1[[#This Row],[Total_System_Load]]-Table1[[#This Row],[Total_Children_Under_Care]])/Table1[[#This Row],[Total_Children_Under_Care]]*100</f>
        <v>6.3770634231103394</v>
      </c>
      <c r="R387" s="1">
        <f>(Table1[[#This Row],[Children_discharged _from_HHS_ Care]]/Table1[[#This Row],[Children_transferred_out_of_CBP_custody]])</f>
        <v>0.95483870967741935</v>
      </c>
    </row>
    <row r="388" spans="1:18" x14ac:dyDescent="0.3">
      <c r="A388">
        <v>387</v>
      </c>
      <c r="B388" s="7">
        <v>45517</v>
      </c>
      <c r="C388" s="5">
        <v>162</v>
      </c>
      <c r="D388" s="5">
        <v>239</v>
      </c>
      <c r="E388" s="5">
        <v>189</v>
      </c>
      <c r="F388" s="5">
        <v>5981</v>
      </c>
      <c r="G388" s="5">
        <v>123</v>
      </c>
      <c r="H388" t="str">
        <f t="shared" si="31"/>
        <v>Valid</v>
      </c>
      <c r="I388" t="str">
        <f t="shared" si="32"/>
        <v>Valid</v>
      </c>
      <c r="J388" s="5">
        <f t="shared" si="33"/>
        <v>5858</v>
      </c>
      <c r="K388" s="5">
        <f t="shared" si="34"/>
        <v>6220</v>
      </c>
      <c r="L388" s="5">
        <f>IF(Table1[[#This Row],[Total_System_Load]]&gt;80%*AVERAGE(Table1[Total_System_Load]),Table1[[#This Row],[Total_System_Load]]-Table1[[#This Row],[Total_Children_Under_Care]],0)</f>
        <v>362</v>
      </c>
      <c r="M388" s="5">
        <f t="shared" si="30"/>
        <v>66</v>
      </c>
      <c r="N388" s="5">
        <f>M389-Table1[[#This Row],[Net_Daily_Intake]]</f>
        <v>-53</v>
      </c>
      <c r="O388" s="5">
        <f>M389-Table1[[#This Row],[Net_Daily_Intake]]/Table1[[#This Row],[Net_Daily_Intake]]</f>
        <v>12</v>
      </c>
      <c r="P388" t="str">
        <f>IF(Table1[[#This Row],[Change_in_Net_Daily_Intake]]&gt;0,"Sustained Positive","Negative")</f>
        <v>Negative</v>
      </c>
      <c r="Q388" s="1">
        <f>(Table1[[#This Row],[Total_System_Load]]-Table1[[#This Row],[Total_Children_Under_Care]])/Table1[[#This Row],[Total_Children_Under_Care]]*100</f>
        <v>6.1795834755889381</v>
      </c>
      <c r="R388" s="1">
        <f>(Table1[[#This Row],[Children_discharged _from_HHS_ Care]]/Table1[[#This Row],[Children_transferred_out_of_CBP_custody]])</f>
        <v>0.65079365079365081</v>
      </c>
    </row>
    <row r="389" spans="1:18" x14ac:dyDescent="0.3">
      <c r="A389">
        <v>388</v>
      </c>
      <c r="B389" s="7">
        <v>45518</v>
      </c>
      <c r="C389" s="5">
        <v>109</v>
      </c>
      <c r="D389" s="5">
        <v>226</v>
      </c>
      <c r="E389" s="5">
        <v>191</v>
      </c>
      <c r="F389" s="5">
        <v>5987</v>
      </c>
      <c r="G389" s="5">
        <v>178</v>
      </c>
      <c r="H389" t="str">
        <f t="shared" si="31"/>
        <v>Valid</v>
      </c>
      <c r="I389" t="str">
        <f t="shared" si="32"/>
        <v>Valid</v>
      </c>
      <c r="J389" s="5">
        <f t="shared" si="33"/>
        <v>5809</v>
      </c>
      <c r="K389" s="5">
        <f t="shared" si="34"/>
        <v>6213</v>
      </c>
      <c r="L389" s="5">
        <f>IF(Table1[[#This Row],[Total_System_Load]]&gt;80%*AVERAGE(Table1[Total_System_Load]),Table1[[#This Row],[Total_System_Load]]-Table1[[#This Row],[Total_Children_Under_Care]],0)</f>
        <v>404</v>
      </c>
      <c r="M389" s="5">
        <f t="shared" si="30"/>
        <v>13</v>
      </c>
      <c r="N389" s="5">
        <f>M390-Table1[[#This Row],[Net_Daily_Intake]]</f>
        <v>-77</v>
      </c>
      <c r="O389" s="5">
        <f>M390-Table1[[#This Row],[Net_Daily_Intake]]/Table1[[#This Row],[Net_Daily_Intake]]</f>
        <v>-65</v>
      </c>
      <c r="P389" t="str">
        <f>IF(Table1[[#This Row],[Change_in_Net_Daily_Intake]]&gt;0,"Sustained Positive","Negative")</f>
        <v>Negative</v>
      </c>
      <c r="Q389" s="1">
        <f>(Table1[[#This Row],[Total_System_Load]]-Table1[[#This Row],[Total_Children_Under_Care]])/Table1[[#This Row],[Total_Children_Under_Care]]*100</f>
        <v>6.954725426063006</v>
      </c>
      <c r="R389" s="1">
        <f>(Table1[[#This Row],[Children_discharged _from_HHS_ Care]]/Table1[[#This Row],[Children_transferred_out_of_CBP_custody]])</f>
        <v>0.93193717277486909</v>
      </c>
    </row>
    <row r="390" spans="1:18" x14ac:dyDescent="0.3">
      <c r="A390">
        <v>389</v>
      </c>
      <c r="B390" s="7">
        <v>45519</v>
      </c>
      <c r="C390" s="5">
        <v>124</v>
      </c>
      <c r="D390" s="5">
        <v>241</v>
      </c>
      <c r="E390" s="5">
        <v>156</v>
      </c>
      <c r="F390" s="5">
        <v>5895</v>
      </c>
      <c r="G390" s="5">
        <v>220</v>
      </c>
      <c r="H390" t="str">
        <f t="shared" si="31"/>
        <v>Valid</v>
      </c>
      <c r="I390" t="str">
        <f t="shared" si="32"/>
        <v>Valid</v>
      </c>
      <c r="J390" s="5">
        <f t="shared" si="33"/>
        <v>5675</v>
      </c>
      <c r="K390" s="5">
        <f t="shared" si="34"/>
        <v>6136</v>
      </c>
      <c r="L390" s="5">
        <f>IF(Table1[[#This Row],[Total_System_Load]]&gt;80%*AVERAGE(Table1[Total_System_Load]),Table1[[#This Row],[Total_System_Load]]-Table1[[#This Row],[Total_Children_Under_Care]],0)</f>
        <v>461</v>
      </c>
      <c r="M390" s="5">
        <f t="shared" si="30"/>
        <v>-64</v>
      </c>
      <c r="N390" s="5">
        <f>M391-Table1[[#This Row],[Net_Daily_Intake]]</f>
        <v>121</v>
      </c>
      <c r="O390" s="5">
        <f>M391-Table1[[#This Row],[Net_Daily_Intake]]/Table1[[#This Row],[Net_Daily_Intake]]</f>
        <v>56</v>
      </c>
      <c r="P390" t="str">
        <f>IF(Table1[[#This Row],[Change_in_Net_Daily_Intake]]&gt;0,"Sustained Positive","Negative")</f>
        <v>Sustained Positive</v>
      </c>
      <c r="Q390" s="1">
        <f>(Table1[[#This Row],[Total_System_Load]]-Table1[[#This Row],[Total_Children_Under_Care]])/Table1[[#This Row],[Total_Children_Under_Care]]*100</f>
        <v>8.1233480176211454</v>
      </c>
      <c r="R390" s="1">
        <f>(Table1[[#This Row],[Children_discharged _from_HHS_ Care]]/Table1[[#This Row],[Children_transferred_out_of_CBP_custody]])</f>
        <v>1.4102564102564104</v>
      </c>
    </row>
    <row r="391" spans="1:18" x14ac:dyDescent="0.3">
      <c r="A391">
        <v>390</v>
      </c>
      <c r="B391" s="7">
        <v>45522</v>
      </c>
      <c r="C391" s="5">
        <v>86</v>
      </c>
      <c r="D391" s="5">
        <v>244</v>
      </c>
      <c r="E391" s="5">
        <v>235</v>
      </c>
      <c r="F391" s="5">
        <v>5821</v>
      </c>
      <c r="G391" s="5">
        <v>178</v>
      </c>
      <c r="H391" t="str">
        <f t="shared" si="31"/>
        <v>Valid</v>
      </c>
      <c r="I391" t="str">
        <f t="shared" si="32"/>
        <v>Valid</v>
      </c>
      <c r="J391" s="5">
        <f t="shared" si="33"/>
        <v>5643</v>
      </c>
      <c r="K391" s="5">
        <f t="shared" si="34"/>
        <v>6065</v>
      </c>
      <c r="L391" s="5">
        <f>IF(Table1[[#This Row],[Total_System_Load]]&gt;80%*AVERAGE(Table1[Total_System_Load]),Table1[[#This Row],[Total_System_Load]]-Table1[[#This Row],[Total_Children_Under_Care]],0)</f>
        <v>422</v>
      </c>
      <c r="M391" s="5">
        <f t="shared" si="30"/>
        <v>57</v>
      </c>
      <c r="N391" s="5">
        <f>M392-Table1[[#This Row],[Net_Daily_Intake]]</f>
        <v>-53</v>
      </c>
      <c r="O391" s="5">
        <f>M392-Table1[[#This Row],[Net_Daily_Intake]]/Table1[[#This Row],[Net_Daily_Intake]]</f>
        <v>3</v>
      </c>
      <c r="P391" t="str">
        <f>IF(Table1[[#This Row],[Change_in_Net_Daily_Intake]]&gt;0,"Sustained Positive","Negative")</f>
        <v>Negative</v>
      </c>
      <c r="Q391" s="1">
        <f>(Table1[[#This Row],[Total_System_Load]]-Table1[[#This Row],[Total_Children_Under_Care]])/Table1[[#This Row],[Total_Children_Under_Care]]*100</f>
        <v>7.4782916888180049</v>
      </c>
      <c r="R391" s="1">
        <f>(Table1[[#This Row],[Children_discharged _from_HHS_ Care]]/Table1[[#This Row],[Children_transferred_out_of_CBP_custody]])</f>
        <v>0.75744680851063828</v>
      </c>
    </row>
    <row r="392" spans="1:18" x14ac:dyDescent="0.3">
      <c r="A392">
        <v>391</v>
      </c>
      <c r="B392" s="7">
        <v>45523</v>
      </c>
      <c r="C392" s="5">
        <v>176</v>
      </c>
      <c r="D392" s="5">
        <v>254</v>
      </c>
      <c r="E392" s="5">
        <v>162</v>
      </c>
      <c r="F392" s="5">
        <v>5865</v>
      </c>
      <c r="G392" s="5">
        <v>158</v>
      </c>
      <c r="H392" t="str">
        <f t="shared" si="31"/>
        <v>Valid</v>
      </c>
      <c r="I392" t="str">
        <f t="shared" si="32"/>
        <v>Valid</v>
      </c>
      <c r="J392" s="5">
        <f t="shared" si="33"/>
        <v>5707</v>
      </c>
      <c r="K392" s="5">
        <f t="shared" si="34"/>
        <v>6119</v>
      </c>
      <c r="L392" s="5">
        <f>IF(Table1[[#This Row],[Total_System_Load]]&gt;80%*AVERAGE(Table1[Total_System_Load]),Table1[[#This Row],[Total_System_Load]]-Table1[[#This Row],[Total_Children_Under_Care]],0)</f>
        <v>412</v>
      </c>
      <c r="M392" s="5">
        <f t="shared" si="30"/>
        <v>4</v>
      </c>
      <c r="N392" s="5">
        <f>M393-Table1[[#This Row],[Net_Daily_Intake]]</f>
        <v>129</v>
      </c>
      <c r="O392" s="5">
        <f>M393-Table1[[#This Row],[Net_Daily_Intake]]/Table1[[#This Row],[Net_Daily_Intake]]</f>
        <v>132</v>
      </c>
      <c r="P392" t="str">
        <f>IF(Table1[[#This Row],[Change_in_Net_Daily_Intake]]&gt;0,"Sustained Positive","Negative")</f>
        <v>Sustained Positive</v>
      </c>
      <c r="Q392" s="1">
        <f>(Table1[[#This Row],[Total_System_Load]]-Table1[[#This Row],[Total_Children_Under_Care]])/Table1[[#This Row],[Total_Children_Under_Care]]*100</f>
        <v>7.2192044857192927</v>
      </c>
      <c r="R392" s="1">
        <f>(Table1[[#This Row],[Children_discharged _from_HHS_ Care]]/Table1[[#This Row],[Children_transferred_out_of_CBP_custody]])</f>
        <v>0.97530864197530864</v>
      </c>
    </row>
    <row r="393" spans="1:18" x14ac:dyDescent="0.3">
      <c r="A393">
        <v>392</v>
      </c>
      <c r="B393" s="7">
        <v>45524</v>
      </c>
      <c r="C393" s="5">
        <v>136</v>
      </c>
      <c r="D393" s="5">
        <v>274</v>
      </c>
      <c r="E393" s="5">
        <v>245</v>
      </c>
      <c r="F393" s="5">
        <v>5995</v>
      </c>
      <c r="G393" s="5">
        <v>112</v>
      </c>
      <c r="H393" t="str">
        <f t="shared" si="31"/>
        <v>Valid</v>
      </c>
      <c r="I393" t="str">
        <f t="shared" si="32"/>
        <v>Valid</v>
      </c>
      <c r="J393" s="5">
        <f t="shared" si="33"/>
        <v>5883</v>
      </c>
      <c r="K393" s="5">
        <f t="shared" si="34"/>
        <v>6269</v>
      </c>
      <c r="L393" s="5">
        <f>IF(Table1[[#This Row],[Total_System_Load]]&gt;80%*AVERAGE(Table1[Total_System_Load]),Table1[[#This Row],[Total_System_Load]]-Table1[[#This Row],[Total_Children_Under_Care]],0)</f>
        <v>386</v>
      </c>
      <c r="M393" s="5">
        <f t="shared" si="30"/>
        <v>133</v>
      </c>
      <c r="N393" s="5">
        <f>M394-Table1[[#This Row],[Net_Daily_Intake]]</f>
        <v>-122</v>
      </c>
      <c r="O393" s="5">
        <f>M394-Table1[[#This Row],[Net_Daily_Intake]]/Table1[[#This Row],[Net_Daily_Intake]]</f>
        <v>10</v>
      </c>
      <c r="P393" t="str">
        <f>IF(Table1[[#This Row],[Change_in_Net_Daily_Intake]]&gt;0,"Sustained Positive","Negative")</f>
        <v>Negative</v>
      </c>
      <c r="Q393" s="1">
        <f>(Table1[[#This Row],[Total_System_Load]]-Table1[[#This Row],[Total_Children_Under_Care]])/Table1[[#This Row],[Total_Children_Under_Care]]*100</f>
        <v>6.561278259391468</v>
      </c>
      <c r="R393" s="1">
        <f>(Table1[[#This Row],[Children_discharged _from_HHS_ Care]]/Table1[[#This Row],[Children_transferred_out_of_CBP_custody]])</f>
        <v>0.45714285714285713</v>
      </c>
    </row>
    <row r="394" spans="1:18" x14ac:dyDescent="0.3">
      <c r="A394">
        <v>393</v>
      </c>
      <c r="B394" s="7">
        <v>45525</v>
      </c>
      <c r="C394" s="5">
        <v>134</v>
      </c>
      <c r="D394" s="5">
        <v>245</v>
      </c>
      <c r="E394" s="5">
        <v>167</v>
      </c>
      <c r="F394" s="5">
        <v>6028</v>
      </c>
      <c r="G394" s="5">
        <v>156</v>
      </c>
      <c r="H394" t="str">
        <f t="shared" si="31"/>
        <v>Valid</v>
      </c>
      <c r="I394" t="str">
        <f t="shared" si="32"/>
        <v>Valid</v>
      </c>
      <c r="J394" s="5">
        <f t="shared" si="33"/>
        <v>5872</v>
      </c>
      <c r="K394" s="5">
        <f t="shared" si="34"/>
        <v>6273</v>
      </c>
      <c r="L394" s="5">
        <f>IF(Table1[[#This Row],[Total_System_Load]]&gt;80%*AVERAGE(Table1[Total_System_Load]),Table1[[#This Row],[Total_System_Load]]-Table1[[#This Row],[Total_Children_Under_Care]],0)</f>
        <v>401</v>
      </c>
      <c r="M394" s="5">
        <f t="shared" si="30"/>
        <v>11</v>
      </c>
      <c r="N394" s="5">
        <f>M395-Table1[[#This Row],[Net_Daily_Intake]]</f>
        <v>23</v>
      </c>
      <c r="O394" s="5">
        <f>M395-Table1[[#This Row],[Net_Daily_Intake]]/Table1[[#This Row],[Net_Daily_Intake]]</f>
        <v>33</v>
      </c>
      <c r="P394" t="str">
        <f>IF(Table1[[#This Row],[Change_in_Net_Daily_Intake]]&gt;0,"Sustained Positive","Negative")</f>
        <v>Sustained Positive</v>
      </c>
      <c r="Q394" s="1">
        <f>(Table1[[#This Row],[Total_System_Load]]-Table1[[#This Row],[Total_Children_Under_Care]])/Table1[[#This Row],[Total_Children_Under_Care]]*100</f>
        <v>6.8290190735694827</v>
      </c>
      <c r="R394" s="1">
        <f>(Table1[[#This Row],[Children_discharged _from_HHS_ Care]]/Table1[[#This Row],[Children_transferred_out_of_CBP_custody]])</f>
        <v>0.93413173652694614</v>
      </c>
    </row>
    <row r="395" spans="1:18" x14ac:dyDescent="0.3">
      <c r="A395">
        <v>394</v>
      </c>
      <c r="B395" s="7">
        <v>45526</v>
      </c>
      <c r="C395" s="5">
        <v>182</v>
      </c>
      <c r="D395" s="5">
        <v>307</v>
      </c>
      <c r="E395" s="5">
        <v>205</v>
      </c>
      <c r="F395" s="5">
        <v>6054</v>
      </c>
      <c r="G395" s="5">
        <v>171</v>
      </c>
      <c r="H395" t="str">
        <f t="shared" si="31"/>
        <v>Valid</v>
      </c>
      <c r="I395" t="str">
        <f t="shared" si="32"/>
        <v>Valid</v>
      </c>
      <c r="J395" s="5">
        <f t="shared" si="33"/>
        <v>5883</v>
      </c>
      <c r="K395" s="5">
        <f t="shared" si="34"/>
        <v>6361</v>
      </c>
      <c r="L395" s="5">
        <f>IF(Table1[[#This Row],[Total_System_Load]]&gt;80%*AVERAGE(Table1[Total_System_Load]),Table1[[#This Row],[Total_System_Load]]-Table1[[#This Row],[Total_Children_Under_Care]],0)</f>
        <v>478</v>
      </c>
      <c r="M395" s="5">
        <f t="shared" si="30"/>
        <v>34</v>
      </c>
      <c r="N395" s="5">
        <f>M396-Table1[[#This Row],[Net_Daily_Intake]]</f>
        <v>91</v>
      </c>
      <c r="O395" s="5">
        <f>M396-Table1[[#This Row],[Net_Daily_Intake]]/Table1[[#This Row],[Net_Daily_Intake]]</f>
        <v>124</v>
      </c>
      <c r="P395" t="str">
        <f>IF(Table1[[#This Row],[Change_in_Net_Daily_Intake]]&gt;0,"Sustained Positive","Negative")</f>
        <v>Sustained Positive</v>
      </c>
      <c r="Q395" s="1">
        <f>(Table1[[#This Row],[Total_System_Load]]-Table1[[#This Row],[Total_Children_Under_Care]])/Table1[[#This Row],[Total_Children_Under_Care]]*100</f>
        <v>8.1251062383137853</v>
      </c>
      <c r="R395" s="1">
        <f>(Table1[[#This Row],[Children_discharged _from_HHS_ Care]]/Table1[[#This Row],[Children_transferred_out_of_CBP_custody]])</f>
        <v>0.8341463414634146</v>
      </c>
    </row>
    <row r="396" spans="1:18" x14ac:dyDescent="0.3">
      <c r="A396">
        <v>395</v>
      </c>
      <c r="B396" s="7">
        <v>45531</v>
      </c>
      <c r="C396" s="5">
        <v>149</v>
      </c>
      <c r="D396" s="5">
        <v>285</v>
      </c>
      <c r="E396" s="5">
        <v>222</v>
      </c>
      <c r="F396" s="5">
        <v>6152</v>
      </c>
      <c r="G396" s="5">
        <v>97</v>
      </c>
      <c r="H396" t="str">
        <f t="shared" si="31"/>
        <v>Valid</v>
      </c>
      <c r="I396" t="str">
        <f t="shared" si="32"/>
        <v>Valid</v>
      </c>
      <c r="J396" s="5">
        <f t="shared" si="33"/>
        <v>6055</v>
      </c>
      <c r="K396" s="5">
        <f t="shared" si="34"/>
        <v>6437</v>
      </c>
      <c r="L396" s="5">
        <f>IF(Table1[[#This Row],[Total_System_Load]]&gt;80%*AVERAGE(Table1[Total_System_Load]),Table1[[#This Row],[Total_System_Load]]-Table1[[#This Row],[Total_Children_Under_Care]],0)</f>
        <v>382</v>
      </c>
      <c r="M396" s="5">
        <f t="shared" si="30"/>
        <v>125</v>
      </c>
      <c r="N396" s="5">
        <f>M397-Table1[[#This Row],[Net_Daily_Intake]]</f>
        <v>-81</v>
      </c>
      <c r="O396" s="5">
        <f>M397-Table1[[#This Row],[Net_Daily_Intake]]/Table1[[#This Row],[Net_Daily_Intake]]</f>
        <v>43</v>
      </c>
      <c r="P396" t="str">
        <f>IF(Table1[[#This Row],[Change_in_Net_Daily_Intake]]&gt;0,"Sustained Positive","Negative")</f>
        <v>Negative</v>
      </c>
      <c r="Q396" s="1">
        <f>(Table1[[#This Row],[Total_System_Load]]-Table1[[#This Row],[Total_Children_Under_Care]])/Table1[[#This Row],[Total_Children_Under_Care]]*100</f>
        <v>6.3088356729975228</v>
      </c>
      <c r="R396" s="1">
        <f>(Table1[[#This Row],[Children_discharged _from_HHS_ Care]]/Table1[[#This Row],[Children_transferred_out_of_CBP_custody]])</f>
        <v>0.43693693693693691</v>
      </c>
    </row>
    <row r="397" spans="1:18" x14ac:dyDescent="0.3">
      <c r="A397">
        <v>396</v>
      </c>
      <c r="B397" s="7">
        <v>45532</v>
      </c>
      <c r="C397" s="5">
        <v>170</v>
      </c>
      <c r="D397" s="5">
        <v>285</v>
      </c>
      <c r="E397" s="5">
        <v>178</v>
      </c>
      <c r="F397" s="5">
        <v>6227</v>
      </c>
      <c r="G397" s="5">
        <v>134</v>
      </c>
      <c r="H397" t="str">
        <f t="shared" si="31"/>
        <v>Valid</v>
      </c>
      <c r="I397" t="str">
        <f t="shared" si="32"/>
        <v>Valid</v>
      </c>
      <c r="J397" s="5">
        <f t="shared" si="33"/>
        <v>6093</v>
      </c>
      <c r="K397" s="5">
        <f t="shared" si="34"/>
        <v>6512</v>
      </c>
      <c r="L397" s="5">
        <f>IF(Table1[[#This Row],[Total_System_Load]]&gt;80%*AVERAGE(Table1[Total_System_Load]),Table1[[#This Row],[Total_System_Load]]-Table1[[#This Row],[Total_Children_Under_Care]],0)</f>
        <v>419</v>
      </c>
      <c r="M397" s="5">
        <f t="shared" si="30"/>
        <v>44</v>
      </c>
      <c r="N397" s="5">
        <f>M398-Table1[[#This Row],[Net_Daily_Intake]]</f>
        <v>-25</v>
      </c>
      <c r="O397" s="5">
        <f>M398-Table1[[#This Row],[Net_Daily_Intake]]/Table1[[#This Row],[Net_Daily_Intake]]</f>
        <v>18</v>
      </c>
      <c r="P397" t="str">
        <f>IF(Table1[[#This Row],[Change_in_Net_Daily_Intake]]&gt;0,"Sustained Positive","Negative")</f>
        <v>Negative</v>
      </c>
      <c r="Q397" s="1">
        <f>(Table1[[#This Row],[Total_System_Load]]-Table1[[#This Row],[Total_Children_Under_Care]])/Table1[[#This Row],[Total_Children_Under_Care]]*100</f>
        <v>6.8767438043656659</v>
      </c>
      <c r="R397" s="1">
        <f>(Table1[[#This Row],[Children_discharged _from_HHS_ Care]]/Table1[[#This Row],[Children_transferred_out_of_CBP_custody]])</f>
        <v>0.7528089887640449</v>
      </c>
    </row>
    <row r="398" spans="1:18" x14ac:dyDescent="0.3">
      <c r="A398">
        <v>397</v>
      </c>
      <c r="B398" s="7">
        <v>45533</v>
      </c>
      <c r="C398" s="5">
        <v>145</v>
      </c>
      <c r="D398" s="5">
        <v>295</v>
      </c>
      <c r="E398" s="5">
        <v>188</v>
      </c>
      <c r="F398" s="5">
        <v>6250</v>
      </c>
      <c r="G398" s="5">
        <v>169</v>
      </c>
      <c r="H398" t="str">
        <f t="shared" si="31"/>
        <v>Valid</v>
      </c>
      <c r="I398" t="str">
        <f t="shared" si="32"/>
        <v>Valid</v>
      </c>
      <c r="J398" s="5">
        <f t="shared" si="33"/>
        <v>6081</v>
      </c>
      <c r="K398" s="5">
        <f t="shared" si="34"/>
        <v>6545</v>
      </c>
      <c r="L398" s="5">
        <f>IF(Table1[[#This Row],[Total_System_Load]]&gt;80%*AVERAGE(Table1[Total_System_Load]),Table1[[#This Row],[Total_System_Load]]-Table1[[#This Row],[Total_Children_Under_Care]],0)</f>
        <v>464</v>
      </c>
      <c r="M398" s="5">
        <f t="shared" si="30"/>
        <v>19</v>
      </c>
      <c r="N398" s="5">
        <f>M399-Table1[[#This Row],[Net_Daily_Intake]]</f>
        <v>50</v>
      </c>
      <c r="O398" s="5">
        <f>M399-Table1[[#This Row],[Net_Daily_Intake]]/Table1[[#This Row],[Net_Daily_Intake]]</f>
        <v>68</v>
      </c>
      <c r="P398" t="str">
        <f>IF(Table1[[#This Row],[Change_in_Net_Daily_Intake]]&gt;0,"Sustained Positive","Negative")</f>
        <v>Sustained Positive</v>
      </c>
      <c r="Q398" s="1">
        <f>(Table1[[#This Row],[Total_System_Load]]-Table1[[#This Row],[Total_Children_Under_Care]])/Table1[[#This Row],[Total_Children_Under_Care]]*100</f>
        <v>7.630323959875021</v>
      </c>
      <c r="R398" s="1">
        <f>(Table1[[#This Row],[Children_discharged _from_HHS_ Care]]/Table1[[#This Row],[Children_transferred_out_of_CBP_custody]])</f>
        <v>0.89893617021276595</v>
      </c>
    </row>
    <row r="399" spans="1:18" x14ac:dyDescent="0.3">
      <c r="A399">
        <v>398</v>
      </c>
      <c r="B399" s="7">
        <v>45537</v>
      </c>
      <c r="C399" s="5">
        <v>133</v>
      </c>
      <c r="D399" s="5">
        <v>270</v>
      </c>
      <c r="E399" s="5">
        <v>198</v>
      </c>
      <c r="F399" s="5">
        <v>6192</v>
      </c>
      <c r="G399" s="5">
        <v>129</v>
      </c>
      <c r="H399" t="str">
        <f t="shared" si="31"/>
        <v>Valid</v>
      </c>
      <c r="I399" t="str">
        <f t="shared" si="32"/>
        <v>Valid</v>
      </c>
      <c r="J399" s="5">
        <f t="shared" si="33"/>
        <v>6063</v>
      </c>
      <c r="K399" s="5">
        <f t="shared" si="34"/>
        <v>6462</v>
      </c>
      <c r="L399" s="5">
        <f>IF(Table1[[#This Row],[Total_System_Load]]&gt;80%*AVERAGE(Table1[Total_System_Load]),Table1[[#This Row],[Total_System_Load]]-Table1[[#This Row],[Total_Children_Under_Care]],0)</f>
        <v>399</v>
      </c>
      <c r="M399" s="5">
        <f t="shared" si="30"/>
        <v>69</v>
      </c>
      <c r="N399" s="5">
        <f>M400-Table1[[#This Row],[Net_Daily_Intake]]</f>
        <v>-4</v>
      </c>
      <c r="O399" s="5">
        <f>M400-Table1[[#This Row],[Net_Daily_Intake]]/Table1[[#This Row],[Net_Daily_Intake]]</f>
        <v>64</v>
      </c>
      <c r="P399" t="str">
        <f>IF(Table1[[#This Row],[Change_in_Net_Daily_Intake]]&gt;0,"Sustained Positive","Negative")</f>
        <v>Negative</v>
      </c>
      <c r="Q399" s="1">
        <f>(Table1[[#This Row],[Total_System_Load]]-Table1[[#This Row],[Total_Children_Under_Care]])/Table1[[#This Row],[Total_Children_Under_Care]]*100</f>
        <v>6.5809005442850079</v>
      </c>
      <c r="R399" s="1">
        <f>(Table1[[#This Row],[Children_discharged _from_HHS_ Care]]/Table1[[#This Row],[Children_transferred_out_of_CBP_custody]])</f>
        <v>0.65151515151515149</v>
      </c>
    </row>
    <row r="400" spans="1:18" x14ac:dyDescent="0.3">
      <c r="A400">
        <v>399</v>
      </c>
      <c r="B400" s="7">
        <v>45538</v>
      </c>
      <c r="C400" s="5">
        <v>131</v>
      </c>
      <c r="D400" s="5">
        <v>263</v>
      </c>
      <c r="E400" s="5">
        <v>177</v>
      </c>
      <c r="F400" s="5">
        <v>6272</v>
      </c>
      <c r="G400" s="5">
        <v>112</v>
      </c>
      <c r="H400" t="str">
        <f t="shared" si="31"/>
        <v>Valid</v>
      </c>
      <c r="I400" t="str">
        <f t="shared" si="32"/>
        <v>Valid</v>
      </c>
      <c r="J400" s="5">
        <f t="shared" si="33"/>
        <v>6160</v>
      </c>
      <c r="K400" s="5">
        <f t="shared" si="34"/>
        <v>6535</v>
      </c>
      <c r="L400" s="5">
        <f>IF(Table1[[#This Row],[Total_System_Load]]&gt;80%*AVERAGE(Table1[Total_System_Load]),Table1[[#This Row],[Total_System_Load]]-Table1[[#This Row],[Total_Children_Under_Care]],0)</f>
        <v>375</v>
      </c>
      <c r="M400" s="5">
        <f t="shared" si="30"/>
        <v>65</v>
      </c>
      <c r="N400" s="5">
        <f>M401-Table1[[#This Row],[Net_Daily_Intake]]</f>
        <v>40</v>
      </c>
      <c r="O400" s="5">
        <f>M401-Table1[[#This Row],[Net_Daily_Intake]]/Table1[[#This Row],[Net_Daily_Intake]]</f>
        <v>104</v>
      </c>
      <c r="P400" t="str">
        <f>IF(Table1[[#This Row],[Change_in_Net_Daily_Intake]]&gt;0,"Sustained Positive","Negative")</f>
        <v>Sustained Positive</v>
      </c>
      <c r="Q400" s="1">
        <f>(Table1[[#This Row],[Total_System_Load]]-Table1[[#This Row],[Total_Children_Under_Care]])/Table1[[#This Row],[Total_Children_Under_Care]]*100</f>
        <v>6.087662337662338</v>
      </c>
      <c r="R400" s="1">
        <f>(Table1[[#This Row],[Children_discharged _from_HHS_ Care]]/Table1[[#This Row],[Children_transferred_out_of_CBP_custody]])</f>
        <v>0.63276836158192096</v>
      </c>
    </row>
    <row r="401" spans="1:18" x14ac:dyDescent="0.3">
      <c r="A401">
        <v>400</v>
      </c>
      <c r="B401" s="7">
        <v>45539</v>
      </c>
      <c r="C401" s="5">
        <v>121</v>
      </c>
      <c r="D401" s="5">
        <v>231</v>
      </c>
      <c r="E401" s="5">
        <v>219</v>
      </c>
      <c r="F401" s="5">
        <v>6375</v>
      </c>
      <c r="G401" s="5">
        <v>114</v>
      </c>
      <c r="H401" t="str">
        <f t="shared" si="31"/>
        <v>Valid</v>
      </c>
      <c r="I401" t="str">
        <f t="shared" si="32"/>
        <v>Valid</v>
      </c>
      <c r="J401" s="5">
        <f t="shared" si="33"/>
        <v>6261</v>
      </c>
      <c r="K401" s="5">
        <f t="shared" si="34"/>
        <v>6606</v>
      </c>
      <c r="L401" s="5">
        <f>IF(Table1[[#This Row],[Total_System_Load]]&gt;80%*AVERAGE(Table1[Total_System_Load]),Table1[[#This Row],[Total_System_Load]]-Table1[[#This Row],[Total_Children_Under_Care]],0)</f>
        <v>345</v>
      </c>
      <c r="M401" s="5">
        <f t="shared" si="30"/>
        <v>105</v>
      </c>
      <c r="N401" s="5">
        <f>M402-Table1[[#This Row],[Net_Daily_Intake]]</f>
        <v>-51</v>
      </c>
      <c r="O401" s="5">
        <f>M402-Table1[[#This Row],[Net_Daily_Intake]]/Table1[[#This Row],[Net_Daily_Intake]]</f>
        <v>53</v>
      </c>
      <c r="P401" t="str">
        <f>IF(Table1[[#This Row],[Change_in_Net_Daily_Intake]]&gt;0,"Sustained Positive","Negative")</f>
        <v>Negative</v>
      </c>
      <c r="Q401" s="1">
        <f>(Table1[[#This Row],[Total_System_Load]]-Table1[[#This Row],[Total_Children_Under_Care]])/Table1[[#This Row],[Total_Children_Under_Care]]*100</f>
        <v>5.5103018687110685</v>
      </c>
      <c r="R401" s="1">
        <f>(Table1[[#This Row],[Children_discharged _from_HHS_ Care]]/Table1[[#This Row],[Children_transferred_out_of_CBP_custody]])</f>
        <v>0.52054794520547942</v>
      </c>
    </row>
    <row r="402" spans="1:18" x14ac:dyDescent="0.3">
      <c r="A402">
        <v>401</v>
      </c>
      <c r="B402" s="7">
        <v>45540</v>
      </c>
      <c r="C402" s="5">
        <v>126</v>
      </c>
      <c r="D402" s="5">
        <v>230</v>
      </c>
      <c r="E402" s="5">
        <v>175</v>
      </c>
      <c r="F402" s="5">
        <v>6448</v>
      </c>
      <c r="G402" s="5">
        <v>121</v>
      </c>
      <c r="H402" t="str">
        <f t="shared" si="31"/>
        <v>Valid</v>
      </c>
      <c r="I402" t="str">
        <f t="shared" si="32"/>
        <v>Valid</v>
      </c>
      <c r="J402" s="5">
        <f t="shared" si="33"/>
        <v>6327</v>
      </c>
      <c r="K402" s="5">
        <f t="shared" si="34"/>
        <v>6678</v>
      </c>
      <c r="L402" s="5">
        <f>IF(Table1[[#This Row],[Total_System_Load]]&gt;80%*AVERAGE(Table1[Total_System_Load]),Table1[[#This Row],[Total_System_Load]]-Table1[[#This Row],[Total_Children_Under_Care]],0)</f>
        <v>351</v>
      </c>
      <c r="M402" s="5">
        <f t="shared" si="30"/>
        <v>54</v>
      </c>
      <c r="N402" s="5">
        <f>M403-Table1[[#This Row],[Net_Daily_Intake]]</f>
        <v>-111</v>
      </c>
      <c r="O402" s="5">
        <f>M403-Table1[[#This Row],[Net_Daily_Intake]]/Table1[[#This Row],[Net_Daily_Intake]]</f>
        <v>-58</v>
      </c>
      <c r="P402" t="str">
        <f>IF(Table1[[#This Row],[Change_in_Net_Daily_Intake]]&gt;0,"Sustained Positive","Negative")</f>
        <v>Negative</v>
      </c>
      <c r="Q402" s="1">
        <f>(Table1[[#This Row],[Total_System_Load]]-Table1[[#This Row],[Total_Children_Under_Care]])/Table1[[#This Row],[Total_Children_Under_Care]]*100</f>
        <v>5.5476529160739689</v>
      </c>
      <c r="R402" s="1">
        <f>(Table1[[#This Row],[Children_discharged _from_HHS_ Care]]/Table1[[#This Row],[Children_transferred_out_of_CBP_custody]])</f>
        <v>0.69142857142857139</v>
      </c>
    </row>
    <row r="403" spans="1:18" x14ac:dyDescent="0.3">
      <c r="A403">
        <v>402</v>
      </c>
      <c r="B403" s="7">
        <v>45543</v>
      </c>
      <c r="C403" s="5">
        <v>123</v>
      </c>
      <c r="D403" s="5">
        <v>255</v>
      </c>
      <c r="E403" s="5">
        <v>164</v>
      </c>
      <c r="F403" s="5">
        <v>6312</v>
      </c>
      <c r="G403" s="5">
        <v>221</v>
      </c>
      <c r="H403" t="str">
        <f t="shared" si="31"/>
        <v>Valid</v>
      </c>
      <c r="I403" t="str">
        <f t="shared" si="32"/>
        <v>Valid</v>
      </c>
      <c r="J403" s="5">
        <f t="shared" si="33"/>
        <v>6091</v>
      </c>
      <c r="K403" s="5">
        <f t="shared" si="34"/>
        <v>6567</v>
      </c>
      <c r="L403" s="5">
        <f>IF(Table1[[#This Row],[Total_System_Load]]&gt;80%*AVERAGE(Table1[Total_System_Load]),Table1[[#This Row],[Total_System_Load]]-Table1[[#This Row],[Total_Children_Under_Care]],0)</f>
        <v>476</v>
      </c>
      <c r="M403" s="5">
        <f t="shared" si="30"/>
        <v>-57</v>
      </c>
      <c r="N403" s="5">
        <f>M404-Table1[[#This Row],[Net_Daily_Intake]]</f>
        <v>106</v>
      </c>
      <c r="O403" s="5">
        <f>M404-Table1[[#This Row],[Net_Daily_Intake]]/Table1[[#This Row],[Net_Daily_Intake]]</f>
        <v>48</v>
      </c>
      <c r="P403" t="str">
        <f>IF(Table1[[#This Row],[Change_in_Net_Daily_Intake]]&gt;0,"Sustained Positive","Negative")</f>
        <v>Sustained Positive</v>
      </c>
      <c r="Q403" s="1">
        <f>(Table1[[#This Row],[Total_System_Load]]-Table1[[#This Row],[Total_Children_Under_Care]])/Table1[[#This Row],[Total_Children_Under_Care]]*100</f>
        <v>7.8148087341979977</v>
      </c>
      <c r="R403" s="1">
        <f>(Table1[[#This Row],[Children_discharged _from_HHS_ Care]]/Table1[[#This Row],[Children_transferred_out_of_CBP_custody]])</f>
        <v>1.3475609756097562</v>
      </c>
    </row>
    <row r="404" spans="1:18" x14ac:dyDescent="0.3">
      <c r="A404">
        <v>403</v>
      </c>
      <c r="B404" s="7">
        <v>45544</v>
      </c>
      <c r="C404" s="5">
        <v>144</v>
      </c>
      <c r="D404" s="5">
        <v>275</v>
      </c>
      <c r="E404" s="5">
        <v>190</v>
      </c>
      <c r="F404" s="5">
        <v>6353</v>
      </c>
      <c r="G404" s="5">
        <v>141</v>
      </c>
      <c r="H404" t="str">
        <f t="shared" si="31"/>
        <v>Valid</v>
      </c>
      <c r="I404" t="str">
        <f t="shared" si="32"/>
        <v>Valid</v>
      </c>
      <c r="J404" s="5">
        <f t="shared" si="33"/>
        <v>6212</v>
      </c>
      <c r="K404" s="5">
        <f t="shared" si="34"/>
        <v>6628</v>
      </c>
      <c r="L404" s="5">
        <f>IF(Table1[[#This Row],[Total_System_Load]]&gt;80%*AVERAGE(Table1[Total_System_Load]),Table1[[#This Row],[Total_System_Load]]-Table1[[#This Row],[Total_Children_Under_Care]],0)</f>
        <v>416</v>
      </c>
      <c r="M404" s="5">
        <f t="shared" si="30"/>
        <v>49</v>
      </c>
      <c r="N404" s="5">
        <f>M405-Table1[[#This Row],[Net_Daily_Intake]]</f>
        <v>-17</v>
      </c>
      <c r="O404" s="5">
        <f>M405-Table1[[#This Row],[Net_Daily_Intake]]/Table1[[#This Row],[Net_Daily_Intake]]</f>
        <v>31</v>
      </c>
      <c r="P404" t="str">
        <f>IF(Table1[[#This Row],[Change_in_Net_Daily_Intake]]&gt;0,"Sustained Positive","Negative")</f>
        <v>Negative</v>
      </c>
      <c r="Q404" s="1">
        <f>(Table1[[#This Row],[Total_System_Load]]-Table1[[#This Row],[Total_Children_Under_Care]])/Table1[[#This Row],[Total_Children_Under_Care]]*100</f>
        <v>6.6967160334835798</v>
      </c>
      <c r="R404" s="1">
        <f>(Table1[[#This Row],[Children_discharged _from_HHS_ Care]]/Table1[[#This Row],[Children_transferred_out_of_CBP_custody]])</f>
        <v>0.74210526315789471</v>
      </c>
    </row>
    <row r="405" spans="1:18" x14ac:dyDescent="0.3">
      <c r="A405">
        <v>404</v>
      </c>
      <c r="B405" s="7">
        <v>45545</v>
      </c>
      <c r="C405" s="5">
        <v>131</v>
      </c>
      <c r="D405" s="5">
        <v>251</v>
      </c>
      <c r="E405" s="5">
        <v>180</v>
      </c>
      <c r="F405" s="5">
        <v>6396</v>
      </c>
      <c r="G405" s="5">
        <v>148</v>
      </c>
      <c r="H405" t="str">
        <f t="shared" si="31"/>
        <v>Valid</v>
      </c>
      <c r="I405" t="str">
        <f t="shared" si="32"/>
        <v>Valid</v>
      </c>
      <c r="J405" s="5">
        <f t="shared" si="33"/>
        <v>6248</v>
      </c>
      <c r="K405" s="5">
        <f t="shared" si="34"/>
        <v>6647</v>
      </c>
      <c r="L405" s="5">
        <f>IF(Table1[[#This Row],[Total_System_Load]]&gt;80%*AVERAGE(Table1[Total_System_Load]),Table1[[#This Row],[Total_System_Load]]-Table1[[#This Row],[Total_Children_Under_Care]],0)</f>
        <v>399</v>
      </c>
      <c r="M405" s="5">
        <f t="shared" si="30"/>
        <v>32</v>
      </c>
      <c r="N405" s="5">
        <f>M406-Table1[[#This Row],[Net_Daily_Intake]]</f>
        <v>-19</v>
      </c>
      <c r="O405" s="5">
        <f>M406-Table1[[#This Row],[Net_Daily_Intake]]/Table1[[#This Row],[Net_Daily_Intake]]</f>
        <v>12</v>
      </c>
      <c r="P405" t="str">
        <f>IF(Table1[[#This Row],[Change_in_Net_Daily_Intake]]&gt;0,"Sustained Positive","Negative")</f>
        <v>Negative</v>
      </c>
      <c r="Q405" s="1">
        <f>(Table1[[#This Row],[Total_System_Load]]-Table1[[#This Row],[Total_Children_Under_Care]])/Table1[[#This Row],[Total_Children_Under_Care]]*100</f>
        <v>6.3860435339308577</v>
      </c>
      <c r="R405" s="1">
        <f>(Table1[[#This Row],[Children_discharged _from_HHS_ Care]]/Table1[[#This Row],[Children_transferred_out_of_CBP_custody]])</f>
        <v>0.82222222222222219</v>
      </c>
    </row>
    <row r="406" spans="1:18" x14ac:dyDescent="0.3">
      <c r="A406">
        <v>405</v>
      </c>
      <c r="B406" s="7">
        <v>45546</v>
      </c>
      <c r="C406" s="5">
        <v>93</v>
      </c>
      <c r="D406" s="5">
        <v>248</v>
      </c>
      <c r="E406" s="5">
        <v>175</v>
      </c>
      <c r="F406" s="5">
        <v>6410</v>
      </c>
      <c r="G406" s="5">
        <v>162</v>
      </c>
      <c r="H406" t="str">
        <f t="shared" si="31"/>
        <v>Valid</v>
      </c>
      <c r="I406" t="str">
        <f t="shared" si="32"/>
        <v>Valid</v>
      </c>
      <c r="J406" s="5">
        <f t="shared" si="33"/>
        <v>6248</v>
      </c>
      <c r="K406" s="5">
        <f t="shared" si="34"/>
        <v>6658</v>
      </c>
      <c r="L406" s="5">
        <f>IF(Table1[[#This Row],[Total_System_Load]]&gt;80%*AVERAGE(Table1[Total_System_Load]),Table1[[#This Row],[Total_System_Load]]-Table1[[#This Row],[Total_Children_Under_Care]],0)</f>
        <v>410</v>
      </c>
      <c r="M406" s="5">
        <f t="shared" si="30"/>
        <v>13</v>
      </c>
      <c r="N406" s="5">
        <f>M407-Table1[[#This Row],[Net_Daily_Intake]]</f>
        <v>-23</v>
      </c>
      <c r="O406" s="5">
        <f>M407-Table1[[#This Row],[Net_Daily_Intake]]/Table1[[#This Row],[Net_Daily_Intake]]</f>
        <v>-11</v>
      </c>
      <c r="P406" t="str">
        <f>IF(Table1[[#This Row],[Change_in_Net_Daily_Intake]]&gt;0,"Sustained Positive","Negative")</f>
        <v>Negative</v>
      </c>
      <c r="Q406" s="1">
        <f>(Table1[[#This Row],[Total_System_Load]]-Table1[[#This Row],[Total_Children_Under_Care]])/Table1[[#This Row],[Total_Children_Under_Care]]*100</f>
        <v>6.5620998719590258</v>
      </c>
      <c r="R406" s="1">
        <f>(Table1[[#This Row],[Children_discharged _from_HHS_ Care]]/Table1[[#This Row],[Children_transferred_out_of_CBP_custody]])</f>
        <v>0.92571428571428571</v>
      </c>
    </row>
    <row r="407" spans="1:18" x14ac:dyDescent="0.3">
      <c r="A407">
        <v>406</v>
      </c>
      <c r="B407" s="7">
        <v>45547</v>
      </c>
      <c r="C407" s="5">
        <v>184</v>
      </c>
      <c r="D407" s="5">
        <v>280</v>
      </c>
      <c r="E407" s="5">
        <v>210</v>
      </c>
      <c r="F407" s="5">
        <v>6360</v>
      </c>
      <c r="G407" s="5">
        <v>220</v>
      </c>
      <c r="H407" t="str">
        <f t="shared" si="31"/>
        <v>Valid</v>
      </c>
      <c r="I407" t="str">
        <f t="shared" si="32"/>
        <v>Valid</v>
      </c>
      <c r="J407" s="5">
        <f t="shared" si="33"/>
        <v>6140</v>
      </c>
      <c r="K407" s="5">
        <f t="shared" si="34"/>
        <v>6640</v>
      </c>
      <c r="L407" s="5">
        <f>IF(Table1[[#This Row],[Total_System_Load]]&gt;80%*AVERAGE(Table1[Total_System_Load]),Table1[[#This Row],[Total_System_Load]]-Table1[[#This Row],[Total_Children_Under_Care]],0)</f>
        <v>500</v>
      </c>
      <c r="M407" s="5">
        <f t="shared" si="30"/>
        <v>-10</v>
      </c>
      <c r="N407" s="5">
        <f>M408-Table1[[#This Row],[Net_Daily_Intake]]</f>
        <v>-57</v>
      </c>
      <c r="O407" s="5">
        <f>M408-Table1[[#This Row],[Net_Daily_Intake]]/Table1[[#This Row],[Net_Daily_Intake]]</f>
        <v>-68</v>
      </c>
      <c r="P407" t="str">
        <f>IF(Table1[[#This Row],[Change_in_Net_Daily_Intake]]&gt;0,"Sustained Positive","Negative")</f>
        <v>Negative</v>
      </c>
      <c r="Q407" s="1">
        <f>(Table1[[#This Row],[Total_System_Load]]-Table1[[#This Row],[Total_Children_Under_Care]])/Table1[[#This Row],[Total_Children_Under_Care]]*100</f>
        <v>8.1433224755700326</v>
      </c>
      <c r="R407" s="1">
        <f>(Table1[[#This Row],[Children_discharged _from_HHS_ Care]]/Table1[[#This Row],[Children_transferred_out_of_CBP_custody]])</f>
        <v>1.0476190476190477</v>
      </c>
    </row>
    <row r="408" spans="1:18" x14ac:dyDescent="0.3">
      <c r="A408">
        <v>407</v>
      </c>
      <c r="B408" s="7">
        <v>45548</v>
      </c>
      <c r="C408" s="5">
        <v>81</v>
      </c>
      <c r="D408" s="5">
        <v>200</v>
      </c>
      <c r="E408" s="5">
        <v>212</v>
      </c>
      <c r="F408" s="5">
        <v>6326</v>
      </c>
      <c r="G408" s="5">
        <v>279</v>
      </c>
      <c r="H408" t="str">
        <f t="shared" si="31"/>
        <v>Invalid</v>
      </c>
      <c r="I408" t="str">
        <f t="shared" si="32"/>
        <v>Valid</v>
      </c>
      <c r="J408" s="5">
        <f t="shared" si="33"/>
        <v>6047</v>
      </c>
      <c r="K408" s="5">
        <f t="shared" si="34"/>
        <v>6526</v>
      </c>
      <c r="L408" s="5">
        <f>IF(Table1[[#This Row],[Total_System_Load]]&gt;80%*AVERAGE(Table1[Total_System_Load]),Table1[[#This Row],[Total_System_Load]]-Table1[[#This Row],[Total_Children_Under_Care]],0)</f>
        <v>479</v>
      </c>
      <c r="M408" s="5">
        <f t="shared" si="30"/>
        <v>-67</v>
      </c>
      <c r="N408" s="5">
        <f>M409-Table1[[#This Row],[Net_Daily_Intake]]</f>
        <v>24</v>
      </c>
      <c r="O408" s="5">
        <f>M409-Table1[[#This Row],[Net_Daily_Intake]]/Table1[[#This Row],[Net_Daily_Intake]]</f>
        <v>-44</v>
      </c>
      <c r="P408" t="str">
        <f>IF(Table1[[#This Row],[Change_in_Net_Daily_Intake]]&gt;0,"Sustained Positive","Negative")</f>
        <v>Sustained Positive</v>
      </c>
      <c r="Q408" s="1">
        <f>(Table1[[#This Row],[Total_System_Load]]-Table1[[#This Row],[Total_Children_Under_Care]])/Table1[[#This Row],[Total_Children_Under_Care]]*100</f>
        <v>7.9212832809657687</v>
      </c>
      <c r="R408" s="1">
        <f>(Table1[[#This Row],[Children_discharged _from_HHS_ Care]]/Table1[[#This Row],[Children_transferred_out_of_CBP_custody]])</f>
        <v>1.3160377358490567</v>
      </c>
    </row>
    <row r="409" spans="1:18" x14ac:dyDescent="0.3">
      <c r="A409">
        <v>408</v>
      </c>
      <c r="B409" s="7">
        <v>45550</v>
      </c>
      <c r="C409" s="5">
        <v>98</v>
      </c>
      <c r="D409" s="5">
        <v>220</v>
      </c>
      <c r="E409" s="5">
        <v>167</v>
      </c>
      <c r="F409" s="5">
        <v>6234</v>
      </c>
      <c r="G409" s="5">
        <v>210</v>
      </c>
      <c r="H409" t="str">
        <f t="shared" si="31"/>
        <v>Valid</v>
      </c>
      <c r="I409" t="str">
        <f t="shared" si="32"/>
        <v>Valid</v>
      </c>
      <c r="J409" s="5">
        <f t="shared" si="33"/>
        <v>6024</v>
      </c>
      <c r="K409" s="5">
        <f t="shared" si="34"/>
        <v>6454</v>
      </c>
      <c r="L409" s="5">
        <f>IF(Table1[[#This Row],[Total_System_Load]]&gt;80%*AVERAGE(Table1[Total_System_Load]),Table1[[#This Row],[Total_System_Load]]-Table1[[#This Row],[Total_Children_Under_Care]],0)</f>
        <v>430</v>
      </c>
      <c r="M409" s="5">
        <f t="shared" si="30"/>
        <v>-43</v>
      </c>
      <c r="N409" s="5">
        <f>M410-Table1[[#This Row],[Net_Daily_Intake]]</f>
        <v>39</v>
      </c>
      <c r="O409" s="5">
        <f>M410-Table1[[#This Row],[Net_Daily_Intake]]/Table1[[#This Row],[Net_Daily_Intake]]</f>
        <v>-5</v>
      </c>
      <c r="P409" t="str">
        <f>IF(Table1[[#This Row],[Change_in_Net_Daily_Intake]]&gt;0,"Sustained Positive","Negative")</f>
        <v>Sustained Positive</v>
      </c>
      <c r="Q409" s="1">
        <f>(Table1[[#This Row],[Total_System_Load]]-Table1[[#This Row],[Total_Children_Under_Care]])/Table1[[#This Row],[Total_Children_Under_Care]]*100</f>
        <v>7.138114209827358</v>
      </c>
      <c r="R409" s="1">
        <f>(Table1[[#This Row],[Children_discharged _from_HHS_ Care]]/Table1[[#This Row],[Children_transferred_out_of_CBP_custody]])</f>
        <v>1.2574850299401197</v>
      </c>
    </row>
    <row r="410" spans="1:18" x14ac:dyDescent="0.3">
      <c r="A410">
        <v>409</v>
      </c>
      <c r="B410" s="7">
        <v>45551</v>
      </c>
      <c r="C410" s="5">
        <v>113</v>
      </c>
      <c r="D410" s="5">
        <v>209</v>
      </c>
      <c r="E410" s="5">
        <v>160</v>
      </c>
      <c r="F410" s="5">
        <v>6229</v>
      </c>
      <c r="G410" s="5">
        <v>164</v>
      </c>
      <c r="H410" t="str">
        <f t="shared" si="31"/>
        <v>Valid</v>
      </c>
      <c r="I410" t="str">
        <f t="shared" si="32"/>
        <v>Valid</v>
      </c>
      <c r="J410" s="5">
        <f t="shared" si="33"/>
        <v>6065</v>
      </c>
      <c r="K410" s="5">
        <f t="shared" si="34"/>
        <v>6438</v>
      </c>
      <c r="L410" s="5">
        <f>IF(Table1[[#This Row],[Total_System_Load]]&gt;80%*AVERAGE(Table1[Total_System_Load]),Table1[[#This Row],[Total_System_Load]]-Table1[[#This Row],[Total_Children_Under_Care]],0)</f>
        <v>373</v>
      </c>
      <c r="M410" s="5">
        <f t="shared" si="30"/>
        <v>-4</v>
      </c>
      <c r="N410" s="5">
        <f>M411-Table1[[#This Row],[Net_Daily_Intake]]</f>
        <v>-17</v>
      </c>
      <c r="O410" s="5">
        <f>M411-Table1[[#This Row],[Net_Daily_Intake]]/Table1[[#This Row],[Net_Daily_Intake]]</f>
        <v>-22</v>
      </c>
      <c r="P410" t="str">
        <f>IF(Table1[[#This Row],[Change_in_Net_Daily_Intake]]&gt;0,"Sustained Positive","Negative")</f>
        <v>Negative</v>
      </c>
      <c r="Q410" s="1">
        <f>(Table1[[#This Row],[Total_System_Load]]-Table1[[#This Row],[Total_Children_Under_Care]])/Table1[[#This Row],[Total_Children_Under_Care]]*100</f>
        <v>6.1500412201154164</v>
      </c>
      <c r="R410" s="1">
        <f>(Table1[[#This Row],[Children_discharged _from_HHS_ Care]]/Table1[[#This Row],[Children_transferred_out_of_CBP_custody]])</f>
        <v>1.0249999999999999</v>
      </c>
    </row>
    <row r="411" spans="1:18" x14ac:dyDescent="0.3">
      <c r="A411">
        <v>410</v>
      </c>
      <c r="B411" s="7">
        <v>45552</v>
      </c>
      <c r="C411" s="5">
        <v>159</v>
      </c>
      <c r="D411" s="5">
        <v>304</v>
      </c>
      <c r="E411" s="5">
        <v>139</v>
      </c>
      <c r="F411" s="5">
        <v>6227</v>
      </c>
      <c r="G411" s="5">
        <v>160</v>
      </c>
      <c r="H411" t="str">
        <f t="shared" si="31"/>
        <v>Valid</v>
      </c>
      <c r="I411" t="str">
        <f t="shared" si="32"/>
        <v>Valid</v>
      </c>
      <c r="J411" s="5">
        <f t="shared" si="33"/>
        <v>6067</v>
      </c>
      <c r="K411" s="5">
        <f t="shared" si="34"/>
        <v>6531</v>
      </c>
      <c r="L411" s="5">
        <f>IF(Table1[[#This Row],[Total_System_Load]]&gt;80%*AVERAGE(Table1[Total_System_Load]),Table1[[#This Row],[Total_System_Load]]-Table1[[#This Row],[Total_Children_Under_Care]],0)</f>
        <v>464</v>
      </c>
      <c r="M411" s="5">
        <f t="shared" si="30"/>
        <v>-21</v>
      </c>
      <c r="N411" s="5">
        <f>M412-Table1[[#This Row],[Net_Daily_Intake]]</f>
        <v>89</v>
      </c>
      <c r="O411" s="5">
        <f>M412-Table1[[#This Row],[Net_Daily_Intake]]/Table1[[#This Row],[Net_Daily_Intake]]</f>
        <v>67</v>
      </c>
      <c r="P411" t="str">
        <f>IF(Table1[[#This Row],[Change_in_Net_Daily_Intake]]&gt;0,"Sustained Positive","Negative")</f>
        <v>Sustained Positive</v>
      </c>
      <c r="Q411" s="1">
        <f>(Table1[[#This Row],[Total_System_Load]]-Table1[[#This Row],[Total_Children_Under_Care]])/Table1[[#This Row],[Total_Children_Under_Care]]*100</f>
        <v>7.6479314323388818</v>
      </c>
      <c r="R411" s="1">
        <f>(Table1[[#This Row],[Children_discharged _from_HHS_ Care]]/Table1[[#This Row],[Children_transferred_out_of_CBP_custody]])</f>
        <v>1.1510791366906474</v>
      </c>
    </row>
    <row r="412" spans="1:18" x14ac:dyDescent="0.3">
      <c r="A412">
        <v>411</v>
      </c>
      <c r="B412" s="7">
        <v>45553</v>
      </c>
      <c r="C412" s="5">
        <v>116</v>
      </c>
      <c r="D412" s="5">
        <v>213</v>
      </c>
      <c r="E412" s="5">
        <v>217</v>
      </c>
      <c r="F412" s="5">
        <v>6245</v>
      </c>
      <c r="G412" s="5">
        <v>149</v>
      </c>
      <c r="H412" t="str">
        <f t="shared" si="31"/>
        <v>Invalid</v>
      </c>
      <c r="I412" t="str">
        <f t="shared" si="32"/>
        <v>Valid</v>
      </c>
      <c r="J412" s="5">
        <f t="shared" si="33"/>
        <v>6096</v>
      </c>
      <c r="K412" s="5">
        <f t="shared" si="34"/>
        <v>6458</v>
      </c>
      <c r="L412" s="5">
        <f>IF(Table1[[#This Row],[Total_System_Load]]&gt;80%*AVERAGE(Table1[Total_System_Load]),Table1[[#This Row],[Total_System_Load]]-Table1[[#This Row],[Total_Children_Under_Care]],0)</f>
        <v>362</v>
      </c>
      <c r="M412" s="5">
        <f t="shared" si="30"/>
        <v>68</v>
      </c>
      <c r="N412" s="5">
        <f>M413-Table1[[#This Row],[Net_Daily_Intake]]</f>
        <v>-87</v>
      </c>
      <c r="O412" s="5">
        <f>M413-Table1[[#This Row],[Net_Daily_Intake]]/Table1[[#This Row],[Net_Daily_Intake]]</f>
        <v>-20</v>
      </c>
      <c r="P412" t="str">
        <f>IF(Table1[[#This Row],[Change_in_Net_Daily_Intake]]&gt;0,"Sustained Positive","Negative")</f>
        <v>Negative</v>
      </c>
      <c r="Q412" s="1">
        <f>(Table1[[#This Row],[Total_System_Load]]-Table1[[#This Row],[Total_Children_Under_Care]])/Table1[[#This Row],[Total_Children_Under_Care]]*100</f>
        <v>5.9383202099737531</v>
      </c>
      <c r="R412" s="1">
        <f>(Table1[[#This Row],[Children_discharged _from_HHS_ Care]]/Table1[[#This Row],[Children_transferred_out_of_CBP_custody]])</f>
        <v>0.68663594470046085</v>
      </c>
    </row>
    <row r="413" spans="1:18" x14ac:dyDescent="0.3">
      <c r="A413">
        <v>412</v>
      </c>
      <c r="B413" s="7">
        <v>45554</v>
      </c>
      <c r="C413" s="5">
        <v>93</v>
      </c>
      <c r="D413" s="5">
        <v>196</v>
      </c>
      <c r="E413" s="5">
        <v>169</v>
      </c>
      <c r="F413" s="5">
        <v>6270</v>
      </c>
      <c r="G413" s="5">
        <v>188</v>
      </c>
      <c r="H413" t="str">
        <f t="shared" si="31"/>
        <v>Valid</v>
      </c>
      <c r="I413" t="str">
        <f t="shared" si="32"/>
        <v>Valid</v>
      </c>
      <c r="J413" s="5">
        <f t="shared" si="33"/>
        <v>6082</v>
      </c>
      <c r="K413" s="5">
        <f t="shared" si="34"/>
        <v>6466</v>
      </c>
      <c r="L413" s="5">
        <f>IF(Table1[[#This Row],[Total_System_Load]]&gt;80%*AVERAGE(Table1[Total_System_Load]),Table1[[#This Row],[Total_System_Load]]-Table1[[#This Row],[Total_Children_Under_Care]],0)</f>
        <v>384</v>
      </c>
      <c r="M413" s="5">
        <f t="shared" si="30"/>
        <v>-19</v>
      </c>
      <c r="N413" s="5">
        <f>M414-Table1[[#This Row],[Net_Daily_Intake]]</f>
        <v>-17</v>
      </c>
      <c r="O413" s="5">
        <f>M414-Table1[[#This Row],[Net_Daily_Intake]]/Table1[[#This Row],[Net_Daily_Intake]]</f>
        <v>-37</v>
      </c>
      <c r="P413" t="str">
        <f>IF(Table1[[#This Row],[Change_in_Net_Daily_Intake]]&gt;0,"Sustained Positive","Negative")</f>
        <v>Negative</v>
      </c>
      <c r="Q413" s="1">
        <f>(Table1[[#This Row],[Total_System_Load]]-Table1[[#This Row],[Total_Children_Under_Care]])/Table1[[#This Row],[Total_Children_Under_Care]]*100</f>
        <v>6.3137125945412693</v>
      </c>
      <c r="R413" s="1">
        <f>(Table1[[#This Row],[Children_discharged _from_HHS_ Care]]/Table1[[#This Row],[Children_transferred_out_of_CBP_custody]])</f>
        <v>1.1124260355029585</v>
      </c>
    </row>
    <row r="414" spans="1:18" x14ac:dyDescent="0.3">
      <c r="A414">
        <v>413</v>
      </c>
      <c r="B414" s="7">
        <v>45557</v>
      </c>
      <c r="C414" s="5">
        <v>124</v>
      </c>
      <c r="D414" s="5">
        <v>234</v>
      </c>
      <c r="E414" s="5">
        <v>161</v>
      </c>
      <c r="F414" s="5">
        <v>5989</v>
      </c>
      <c r="G414" s="5">
        <v>197</v>
      </c>
      <c r="H414" t="str">
        <f t="shared" si="31"/>
        <v>Valid</v>
      </c>
      <c r="I414" t="str">
        <f t="shared" si="32"/>
        <v>Valid</v>
      </c>
      <c r="J414" s="5">
        <f t="shared" si="33"/>
        <v>5792</v>
      </c>
      <c r="K414" s="5">
        <f t="shared" si="34"/>
        <v>6223</v>
      </c>
      <c r="L414" s="5">
        <f>IF(Table1[[#This Row],[Total_System_Load]]&gt;80%*AVERAGE(Table1[Total_System_Load]),Table1[[#This Row],[Total_System_Load]]-Table1[[#This Row],[Total_Children_Under_Care]],0)</f>
        <v>431</v>
      </c>
      <c r="M414" s="5">
        <f t="shared" si="30"/>
        <v>-36</v>
      </c>
      <c r="N414" s="5">
        <f>M415-Table1[[#This Row],[Net_Daily_Intake]]</f>
        <v>44</v>
      </c>
      <c r="O414" s="5">
        <f>M415-Table1[[#This Row],[Net_Daily_Intake]]/Table1[[#This Row],[Net_Daily_Intake]]</f>
        <v>7</v>
      </c>
      <c r="P414" t="str">
        <f>IF(Table1[[#This Row],[Change_in_Net_Daily_Intake]]&gt;0,"Sustained Positive","Negative")</f>
        <v>Sustained Positive</v>
      </c>
      <c r="Q414" s="1">
        <f>(Table1[[#This Row],[Total_System_Load]]-Table1[[#This Row],[Total_Children_Under_Care]])/Table1[[#This Row],[Total_Children_Under_Care]]*100</f>
        <v>7.4412983425414359</v>
      </c>
      <c r="R414" s="1">
        <f>(Table1[[#This Row],[Children_discharged _from_HHS_ Care]]/Table1[[#This Row],[Children_transferred_out_of_CBP_custody]])</f>
        <v>1.2236024844720497</v>
      </c>
    </row>
    <row r="415" spans="1:18" x14ac:dyDescent="0.3">
      <c r="A415">
        <v>414</v>
      </c>
      <c r="B415" s="7">
        <v>45558</v>
      </c>
      <c r="C415" s="5">
        <v>92</v>
      </c>
      <c r="D415" s="5">
        <v>203</v>
      </c>
      <c r="E415" s="5">
        <v>173</v>
      </c>
      <c r="F415" s="5">
        <v>6002</v>
      </c>
      <c r="G415" s="5">
        <v>165</v>
      </c>
      <c r="H415" t="str">
        <f t="shared" si="31"/>
        <v>Valid</v>
      </c>
      <c r="I415" t="str">
        <f t="shared" si="32"/>
        <v>Valid</v>
      </c>
      <c r="J415" s="5">
        <f t="shared" si="33"/>
        <v>5837</v>
      </c>
      <c r="K415" s="5">
        <f t="shared" si="34"/>
        <v>6205</v>
      </c>
      <c r="L415" s="5">
        <f>IF(Table1[[#This Row],[Total_System_Load]]&gt;80%*AVERAGE(Table1[Total_System_Load]),Table1[[#This Row],[Total_System_Load]]-Table1[[#This Row],[Total_Children_Under_Care]],0)</f>
        <v>368</v>
      </c>
      <c r="M415" s="5">
        <f t="shared" si="30"/>
        <v>8</v>
      </c>
      <c r="N415" s="5">
        <f>M416-Table1[[#This Row],[Net_Daily_Intake]]</f>
        <v>21</v>
      </c>
      <c r="O415" s="5">
        <f>M416-Table1[[#This Row],[Net_Daily_Intake]]/Table1[[#This Row],[Net_Daily_Intake]]</f>
        <v>28</v>
      </c>
      <c r="P415" t="str">
        <f>IF(Table1[[#This Row],[Change_in_Net_Daily_Intake]]&gt;0,"Sustained Positive","Negative")</f>
        <v>Sustained Positive</v>
      </c>
      <c r="Q415" s="1">
        <f>(Table1[[#This Row],[Total_System_Load]]-Table1[[#This Row],[Total_Children_Under_Care]])/Table1[[#This Row],[Total_Children_Under_Care]]*100</f>
        <v>6.3046085317800244</v>
      </c>
      <c r="R415" s="1">
        <f>(Table1[[#This Row],[Children_discharged _from_HHS_ Care]]/Table1[[#This Row],[Children_transferred_out_of_CBP_custody]])</f>
        <v>0.95375722543352603</v>
      </c>
    </row>
    <row r="416" spans="1:18" x14ac:dyDescent="0.3">
      <c r="A416">
        <v>415</v>
      </c>
      <c r="B416" s="7">
        <v>45559</v>
      </c>
      <c r="C416" s="5">
        <v>186</v>
      </c>
      <c r="D416" s="5">
        <v>259</v>
      </c>
      <c r="E416" s="5">
        <v>172</v>
      </c>
      <c r="F416" s="5">
        <v>6023</v>
      </c>
      <c r="G416" s="5">
        <v>143</v>
      </c>
      <c r="H416" t="str">
        <f t="shared" si="31"/>
        <v>Valid</v>
      </c>
      <c r="I416" t="str">
        <f t="shared" si="32"/>
        <v>Valid</v>
      </c>
      <c r="J416" s="5">
        <f t="shared" si="33"/>
        <v>5880</v>
      </c>
      <c r="K416" s="5">
        <f t="shared" si="34"/>
        <v>6282</v>
      </c>
      <c r="L416" s="5">
        <f>IF(Table1[[#This Row],[Total_System_Load]]&gt;80%*AVERAGE(Table1[Total_System_Load]),Table1[[#This Row],[Total_System_Load]]-Table1[[#This Row],[Total_Children_Under_Care]],0)</f>
        <v>402</v>
      </c>
      <c r="M416" s="5">
        <f t="shared" si="30"/>
        <v>29</v>
      </c>
      <c r="N416" s="5">
        <f>M417-Table1[[#This Row],[Net_Daily_Intake]]</f>
        <v>22</v>
      </c>
      <c r="O416" s="5">
        <f>M417-Table1[[#This Row],[Net_Daily_Intake]]/Table1[[#This Row],[Net_Daily_Intake]]</f>
        <v>50</v>
      </c>
      <c r="P416" t="str">
        <f>IF(Table1[[#This Row],[Change_in_Net_Daily_Intake]]&gt;0,"Sustained Positive","Negative")</f>
        <v>Sustained Positive</v>
      </c>
      <c r="Q416" s="1">
        <f>(Table1[[#This Row],[Total_System_Load]]-Table1[[#This Row],[Total_Children_Under_Care]])/Table1[[#This Row],[Total_Children_Under_Care]]*100</f>
        <v>6.8367346938775508</v>
      </c>
      <c r="R416" s="1">
        <f>(Table1[[#This Row],[Children_discharged _from_HHS_ Care]]/Table1[[#This Row],[Children_transferred_out_of_CBP_custody]])</f>
        <v>0.83139534883720934</v>
      </c>
    </row>
    <row r="417" spans="1:18" x14ac:dyDescent="0.3">
      <c r="A417">
        <v>416</v>
      </c>
      <c r="B417" s="7">
        <v>45560</v>
      </c>
      <c r="C417" s="5">
        <v>154</v>
      </c>
      <c r="D417" s="5">
        <v>225</v>
      </c>
      <c r="E417" s="5">
        <v>220</v>
      </c>
      <c r="F417" s="5">
        <v>6050</v>
      </c>
      <c r="G417" s="5">
        <v>169</v>
      </c>
      <c r="H417" t="str">
        <f t="shared" si="31"/>
        <v>Valid</v>
      </c>
      <c r="I417" t="str">
        <f t="shared" si="32"/>
        <v>Valid</v>
      </c>
      <c r="J417" s="5">
        <f t="shared" si="33"/>
        <v>5881</v>
      </c>
      <c r="K417" s="5">
        <f t="shared" si="34"/>
        <v>6275</v>
      </c>
      <c r="L417" s="5">
        <f>IF(Table1[[#This Row],[Total_System_Load]]&gt;80%*AVERAGE(Table1[Total_System_Load]),Table1[[#This Row],[Total_System_Load]]-Table1[[#This Row],[Total_Children_Under_Care]],0)</f>
        <v>394</v>
      </c>
      <c r="M417" s="5">
        <f t="shared" si="30"/>
        <v>51</v>
      </c>
      <c r="N417" s="5">
        <f>M418-Table1[[#This Row],[Net_Daily_Intake]]</f>
        <v>-64</v>
      </c>
      <c r="O417" s="5">
        <f>M418-Table1[[#This Row],[Net_Daily_Intake]]/Table1[[#This Row],[Net_Daily_Intake]]</f>
        <v>-14</v>
      </c>
      <c r="P417" t="str">
        <f>IF(Table1[[#This Row],[Change_in_Net_Daily_Intake]]&gt;0,"Sustained Positive","Negative")</f>
        <v>Negative</v>
      </c>
      <c r="Q417" s="1">
        <f>(Table1[[#This Row],[Total_System_Load]]-Table1[[#This Row],[Total_Children_Under_Care]])/Table1[[#This Row],[Total_Children_Under_Care]]*100</f>
        <v>6.6995408944057129</v>
      </c>
      <c r="R417" s="1">
        <f>(Table1[[#This Row],[Children_discharged _from_HHS_ Care]]/Table1[[#This Row],[Children_transferred_out_of_CBP_custody]])</f>
        <v>0.76818181818181819</v>
      </c>
    </row>
    <row r="418" spans="1:18" x14ac:dyDescent="0.3">
      <c r="A418">
        <v>417</v>
      </c>
      <c r="B418" s="7">
        <v>45561</v>
      </c>
      <c r="C418" s="5">
        <v>91</v>
      </c>
      <c r="D418" s="5">
        <v>199</v>
      </c>
      <c r="E418" s="5">
        <v>172</v>
      </c>
      <c r="F418" s="5">
        <v>6090</v>
      </c>
      <c r="G418" s="5">
        <v>185</v>
      </c>
      <c r="H418" t="str">
        <f t="shared" si="31"/>
        <v>Valid</v>
      </c>
      <c r="I418" t="str">
        <f t="shared" si="32"/>
        <v>Valid</v>
      </c>
      <c r="J418" s="5">
        <f t="shared" si="33"/>
        <v>5905</v>
      </c>
      <c r="K418" s="5">
        <f t="shared" si="34"/>
        <v>6289</v>
      </c>
      <c r="L418" s="5">
        <f>IF(Table1[[#This Row],[Total_System_Load]]&gt;80%*AVERAGE(Table1[Total_System_Load]),Table1[[#This Row],[Total_System_Load]]-Table1[[#This Row],[Total_Children_Under_Care]],0)</f>
        <v>384</v>
      </c>
      <c r="M418" s="5">
        <f t="shared" si="30"/>
        <v>-13</v>
      </c>
      <c r="N418" s="5">
        <f>M419-Table1[[#This Row],[Net_Daily_Intake]]</f>
        <v>-11</v>
      </c>
      <c r="O418" s="5">
        <f>M419-Table1[[#This Row],[Net_Daily_Intake]]/Table1[[#This Row],[Net_Daily_Intake]]</f>
        <v>-25</v>
      </c>
      <c r="P418" t="str">
        <f>IF(Table1[[#This Row],[Change_in_Net_Daily_Intake]]&gt;0,"Sustained Positive","Negative")</f>
        <v>Negative</v>
      </c>
      <c r="Q418" s="1">
        <f>(Table1[[#This Row],[Total_System_Load]]-Table1[[#This Row],[Total_Children_Under_Care]])/Table1[[#This Row],[Total_Children_Under_Care]]*100</f>
        <v>6.5029635901778153</v>
      </c>
      <c r="R418" s="1">
        <f>(Table1[[#This Row],[Children_discharged _from_HHS_ Care]]/Table1[[#This Row],[Children_transferred_out_of_CBP_custody]])</f>
        <v>1.0755813953488371</v>
      </c>
    </row>
    <row r="419" spans="1:18" x14ac:dyDescent="0.3">
      <c r="A419">
        <v>418</v>
      </c>
      <c r="B419" s="7">
        <v>45564</v>
      </c>
      <c r="C419" s="5">
        <v>81</v>
      </c>
      <c r="D419" s="5">
        <v>213</v>
      </c>
      <c r="E419" s="5">
        <v>153</v>
      </c>
      <c r="F419" s="5">
        <v>5925</v>
      </c>
      <c r="G419" s="5">
        <v>177</v>
      </c>
      <c r="H419" t="str">
        <f t="shared" si="31"/>
        <v>Valid</v>
      </c>
      <c r="I419" t="str">
        <f t="shared" si="32"/>
        <v>Valid</v>
      </c>
      <c r="J419" s="5">
        <f t="shared" si="33"/>
        <v>5748</v>
      </c>
      <c r="K419" s="5">
        <f t="shared" si="34"/>
        <v>6138</v>
      </c>
      <c r="L419" s="5">
        <f>IF(Table1[[#This Row],[Total_System_Load]]&gt;80%*AVERAGE(Table1[Total_System_Load]),Table1[[#This Row],[Total_System_Load]]-Table1[[#This Row],[Total_Children_Under_Care]],0)</f>
        <v>390</v>
      </c>
      <c r="M419" s="5">
        <f t="shared" si="30"/>
        <v>-24</v>
      </c>
      <c r="N419" s="5">
        <f>M420-Table1[[#This Row],[Net_Daily_Intake]]</f>
        <v>70</v>
      </c>
      <c r="O419" s="5">
        <f>M420-Table1[[#This Row],[Net_Daily_Intake]]/Table1[[#This Row],[Net_Daily_Intake]]</f>
        <v>45</v>
      </c>
      <c r="P419" t="str">
        <f>IF(Table1[[#This Row],[Change_in_Net_Daily_Intake]]&gt;0,"Sustained Positive","Negative")</f>
        <v>Sustained Positive</v>
      </c>
      <c r="Q419" s="1">
        <f>(Table1[[#This Row],[Total_System_Load]]-Table1[[#This Row],[Total_Children_Under_Care]])/Table1[[#This Row],[Total_Children_Under_Care]]*100</f>
        <v>6.7849686847599164</v>
      </c>
      <c r="R419" s="1">
        <f>(Table1[[#This Row],[Children_discharged _from_HHS_ Care]]/Table1[[#This Row],[Children_transferred_out_of_CBP_custody]])</f>
        <v>1.1568627450980393</v>
      </c>
    </row>
    <row r="420" spans="1:18" x14ac:dyDescent="0.3">
      <c r="A420">
        <v>419</v>
      </c>
      <c r="B420" s="7">
        <v>45565</v>
      </c>
      <c r="C420" s="5">
        <v>209</v>
      </c>
      <c r="D420" s="5">
        <v>285</v>
      </c>
      <c r="E420" s="5">
        <v>184</v>
      </c>
      <c r="F420" s="5">
        <v>5967</v>
      </c>
      <c r="G420" s="5">
        <v>138</v>
      </c>
      <c r="H420" t="str">
        <f t="shared" si="31"/>
        <v>Valid</v>
      </c>
      <c r="I420" t="str">
        <f t="shared" si="32"/>
        <v>Valid</v>
      </c>
      <c r="J420" s="5">
        <f t="shared" si="33"/>
        <v>5829</v>
      </c>
      <c r="K420" s="5">
        <f t="shared" si="34"/>
        <v>6252</v>
      </c>
      <c r="L420" s="5">
        <f>IF(Table1[[#This Row],[Total_System_Load]]&gt;80%*AVERAGE(Table1[Total_System_Load]),Table1[[#This Row],[Total_System_Load]]-Table1[[#This Row],[Total_Children_Under_Care]],0)</f>
        <v>423</v>
      </c>
      <c r="M420" s="5">
        <f t="shared" si="30"/>
        <v>46</v>
      </c>
      <c r="N420" s="5">
        <f>M421-Table1[[#This Row],[Net_Daily_Intake]]</f>
        <v>34</v>
      </c>
      <c r="O420" s="5">
        <f>M421-Table1[[#This Row],[Net_Daily_Intake]]/Table1[[#This Row],[Net_Daily_Intake]]</f>
        <v>79</v>
      </c>
      <c r="P420" t="str">
        <f>IF(Table1[[#This Row],[Change_in_Net_Daily_Intake]]&gt;0,"Sustained Positive","Negative")</f>
        <v>Sustained Positive</v>
      </c>
      <c r="Q420" s="1">
        <f>(Table1[[#This Row],[Total_System_Load]]-Table1[[#This Row],[Total_Children_Under_Care]])/Table1[[#This Row],[Total_Children_Under_Care]]*100</f>
        <v>7.2568193515182706</v>
      </c>
      <c r="R420" s="1">
        <f>(Table1[[#This Row],[Children_discharged _from_HHS_ Care]]/Table1[[#This Row],[Children_transferred_out_of_CBP_custody]])</f>
        <v>0.75</v>
      </c>
    </row>
    <row r="421" spans="1:18" x14ac:dyDescent="0.3">
      <c r="A421">
        <v>420</v>
      </c>
      <c r="B421" s="7">
        <v>45566</v>
      </c>
      <c r="C421" s="5">
        <v>184</v>
      </c>
      <c r="D421" s="5">
        <v>314</v>
      </c>
      <c r="E421" s="5">
        <v>217</v>
      </c>
      <c r="F421" s="5">
        <v>6040</v>
      </c>
      <c r="G421" s="5">
        <v>137</v>
      </c>
      <c r="H421" t="str">
        <f t="shared" si="31"/>
        <v>Valid</v>
      </c>
      <c r="I421" t="str">
        <f t="shared" si="32"/>
        <v>Valid</v>
      </c>
      <c r="J421" s="5">
        <f t="shared" si="33"/>
        <v>5903</v>
      </c>
      <c r="K421" s="5">
        <f t="shared" si="34"/>
        <v>6354</v>
      </c>
      <c r="L421" s="5">
        <f>IF(Table1[[#This Row],[Total_System_Load]]&gt;80%*AVERAGE(Table1[Total_System_Load]),Table1[[#This Row],[Total_System_Load]]-Table1[[#This Row],[Total_Children_Under_Care]],0)</f>
        <v>451</v>
      </c>
      <c r="M421" s="5">
        <f t="shared" si="30"/>
        <v>80</v>
      </c>
      <c r="N421" s="5">
        <f>M422-Table1[[#This Row],[Net_Daily_Intake]]</f>
        <v>-23</v>
      </c>
      <c r="O421" s="5">
        <f>M422-Table1[[#This Row],[Net_Daily_Intake]]/Table1[[#This Row],[Net_Daily_Intake]]</f>
        <v>56</v>
      </c>
      <c r="P421" t="str">
        <f>IF(Table1[[#This Row],[Change_in_Net_Daily_Intake]]&gt;0,"Sustained Positive","Negative")</f>
        <v>Negative</v>
      </c>
      <c r="Q421" s="1">
        <f>(Table1[[#This Row],[Total_System_Load]]-Table1[[#This Row],[Total_Children_Under_Care]])/Table1[[#This Row],[Total_Children_Under_Care]]*100</f>
        <v>7.6401829578180589</v>
      </c>
      <c r="R421" s="1">
        <f>(Table1[[#This Row],[Children_discharged _from_HHS_ Care]]/Table1[[#This Row],[Children_transferred_out_of_CBP_custody]])</f>
        <v>0.63133640552995396</v>
      </c>
    </row>
    <row r="422" spans="1:18" x14ac:dyDescent="0.3">
      <c r="A422">
        <v>421</v>
      </c>
      <c r="B422" s="7">
        <v>45567</v>
      </c>
      <c r="C422" s="5">
        <v>107</v>
      </c>
      <c r="D422" s="5">
        <v>215</v>
      </c>
      <c r="E422" s="5">
        <v>230</v>
      </c>
      <c r="F422" s="5">
        <v>6091</v>
      </c>
      <c r="G422" s="5">
        <v>173</v>
      </c>
      <c r="H422" t="str">
        <f t="shared" si="31"/>
        <v>Invalid</v>
      </c>
      <c r="I422" t="str">
        <f t="shared" si="32"/>
        <v>Valid</v>
      </c>
      <c r="J422" s="5">
        <f t="shared" si="33"/>
        <v>5918</v>
      </c>
      <c r="K422" s="5">
        <f t="shared" si="34"/>
        <v>6306</v>
      </c>
      <c r="L422" s="5">
        <f>IF(Table1[[#This Row],[Total_System_Load]]&gt;80%*AVERAGE(Table1[Total_System_Load]),Table1[[#This Row],[Total_System_Load]]-Table1[[#This Row],[Total_Children_Under_Care]],0)</f>
        <v>388</v>
      </c>
      <c r="M422" s="5">
        <f t="shared" si="30"/>
        <v>57</v>
      </c>
      <c r="N422" s="5">
        <f>M423-Table1[[#This Row],[Net_Daily_Intake]]</f>
        <v>-72</v>
      </c>
      <c r="O422" s="5">
        <f>M423-Table1[[#This Row],[Net_Daily_Intake]]/Table1[[#This Row],[Net_Daily_Intake]]</f>
        <v>-16</v>
      </c>
      <c r="P422" t="str">
        <f>IF(Table1[[#This Row],[Change_in_Net_Daily_Intake]]&gt;0,"Sustained Positive","Negative")</f>
        <v>Negative</v>
      </c>
      <c r="Q422" s="1">
        <f>(Table1[[#This Row],[Total_System_Load]]-Table1[[#This Row],[Total_Children_Under_Care]])/Table1[[#This Row],[Total_Children_Under_Care]]*100</f>
        <v>6.5562690098006087</v>
      </c>
      <c r="R422" s="1">
        <f>(Table1[[#This Row],[Children_discharged _from_HHS_ Care]]/Table1[[#This Row],[Children_transferred_out_of_CBP_custody]])</f>
        <v>0.75217391304347825</v>
      </c>
    </row>
    <row r="423" spans="1:18" x14ac:dyDescent="0.3">
      <c r="A423">
        <v>422</v>
      </c>
      <c r="B423" s="7">
        <v>45568</v>
      </c>
      <c r="C423" s="5">
        <v>101</v>
      </c>
      <c r="D423" s="5">
        <v>162</v>
      </c>
      <c r="E423" s="5">
        <v>178</v>
      </c>
      <c r="F423" s="5">
        <v>6118</v>
      </c>
      <c r="G423" s="5">
        <v>193</v>
      </c>
      <c r="H423" t="str">
        <f t="shared" si="31"/>
        <v>Invalid</v>
      </c>
      <c r="I423" t="str">
        <f t="shared" si="32"/>
        <v>Valid</v>
      </c>
      <c r="J423" s="5">
        <f t="shared" si="33"/>
        <v>5925</v>
      </c>
      <c r="K423" s="5">
        <f t="shared" si="34"/>
        <v>6280</v>
      </c>
      <c r="L423" s="5">
        <f>IF(Table1[[#This Row],[Total_System_Load]]&gt;80%*AVERAGE(Table1[Total_System_Load]),Table1[[#This Row],[Total_System_Load]]-Table1[[#This Row],[Total_Children_Under_Care]],0)</f>
        <v>355</v>
      </c>
      <c r="M423" s="5">
        <f t="shared" si="30"/>
        <v>-15</v>
      </c>
      <c r="N423" s="5">
        <f>M424-Table1[[#This Row],[Net_Daily_Intake]]</f>
        <v>38</v>
      </c>
      <c r="O423" s="5">
        <f>M424-Table1[[#This Row],[Net_Daily_Intake]]/Table1[[#This Row],[Net_Daily_Intake]]</f>
        <v>22</v>
      </c>
      <c r="P423" t="str">
        <f>IF(Table1[[#This Row],[Change_in_Net_Daily_Intake]]&gt;0,"Sustained Positive","Negative")</f>
        <v>Sustained Positive</v>
      </c>
      <c r="Q423" s="1">
        <f>(Table1[[#This Row],[Total_System_Load]]-Table1[[#This Row],[Total_Children_Under_Care]])/Table1[[#This Row],[Total_Children_Under_Care]]*100</f>
        <v>5.9915611814345997</v>
      </c>
      <c r="R423" s="1">
        <f>(Table1[[#This Row],[Children_discharged _from_HHS_ Care]]/Table1[[#This Row],[Children_transferred_out_of_CBP_custody]])</f>
        <v>1.0842696629213484</v>
      </c>
    </row>
    <row r="424" spans="1:18" x14ac:dyDescent="0.3">
      <c r="A424">
        <v>423</v>
      </c>
      <c r="B424" s="7">
        <v>45572</v>
      </c>
      <c r="C424" s="5">
        <v>99</v>
      </c>
      <c r="D424" s="5">
        <v>190</v>
      </c>
      <c r="E424" s="5">
        <v>176</v>
      </c>
      <c r="F424" s="5">
        <v>5968</v>
      </c>
      <c r="G424" s="5">
        <v>153</v>
      </c>
      <c r="H424" t="str">
        <f t="shared" si="31"/>
        <v>Valid</v>
      </c>
      <c r="I424" t="str">
        <f t="shared" si="32"/>
        <v>Valid</v>
      </c>
      <c r="J424" s="5">
        <f t="shared" si="33"/>
        <v>5815</v>
      </c>
      <c r="K424" s="5">
        <f t="shared" si="34"/>
        <v>6158</v>
      </c>
      <c r="L424" s="5">
        <f>IF(Table1[[#This Row],[Total_System_Load]]&gt;80%*AVERAGE(Table1[Total_System_Load]),Table1[[#This Row],[Total_System_Load]]-Table1[[#This Row],[Total_Children_Under_Care]],0)</f>
        <v>343</v>
      </c>
      <c r="M424" s="5">
        <f t="shared" si="30"/>
        <v>23</v>
      </c>
      <c r="N424" s="5">
        <f>M425-Table1[[#This Row],[Net_Daily_Intake]]</f>
        <v>20</v>
      </c>
      <c r="O424" s="5">
        <f>M425-Table1[[#This Row],[Net_Daily_Intake]]/Table1[[#This Row],[Net_Daily_Intake]]</f>
        <v>42</v>
      </c>
      <c r="P424" t="str">
        <f>IF(Table1[[#This Row],[Change_in_Net_Daily_Intake]]&gt;0,"Sustained Positive","Negative")</f>
        <v>Sustained Positive</v>
      </c>
      <c r="Q424" s="1">
        <f>(Table1[[#This Row],[Total_System_Load]]-Table1[[#This Row],[Total_Children_Under_Care]])/Table1[[#This Row],[Total_Children_Under_Care]]*100</f>
        <v>5.8985382631126395</v>
      </c>
      <c r="R424" s="1">
        <f>(Table1[[#This Row],[Children_discharged _from_HHS_ Care]]/Table1[[#This Row],[Children_transferred_out_of_CBP_custody]])</f>
        <v>0.86931818181818177</v>
      </c>
    </row>
    <row r="425" spans="1:18" x14ac:dyDescent="0.3">
      <c r="A425">
        <v>424</v>
      </c>
      <c r="B425" s="7">
        <v>45573</v>
      </c>
      <c r="C425" s="5">
        <v>167</v>
      </c>
      <c r="D425" s="5">
        <v>239</v>
      </c>
      <c r="E425" s="5">
        <v>166</v>
      </c>
      <c r="F425" s="5">
        <v>6013</v>
      </c>
      <c r="G425" s="5">
        <v>123</v>
      </c>
      <c r="H425" t="str">
        <f t="shared" si="31"/>
        <v>Valid</v>
      </c>
      <c r="I425" t="str">
        <f t="shared" si="32"/>
        <v>Valid</v>
      </c>
      <c r="J425" s="5">
        <f t="shared" si="33"/>
        <v>5890</v>
      </c>
      <c r="K425" s="5">
        <f t="shared" si="34"/>
        <v>6252</v>
      </c>
      <c r="L425" s="5">
        <f>IF(Table1[[#This Row],[Total_System_Load]]&gt;80%*AVERAGE(Table1[Total_System_Load]),Table1[[#This Row],[Total_System_Load]]-Table1[[#This Row],[Total_Children_Under_Care]],0)</f>
        <v>362</v>
      </c>
      <c r="M425" s="5">
        <f t="shared" si="30"/>
        <v>43</v>
      </c>
      <c r="N425" s="5">
        <f>M426-Table1[[#This Row],[Net_Daily_Intake]]</f>
        <v>-11</v>
      </c>
      <c r="O425" s="5">
        <f>M426-Table1[[#This Row],[Net_Daily_Intake]]/Table1[[#This Row],[Net_Daily_Intake]]</f>
        <v>31</v>
      </c>
      <c r="P425" t="str">
        <f>IF(Table1[[#This Row],[Change_in_Net_Daily_Intake]]&gt;0,"Sustained Positive","Negative")</f>
        <v>Negative</v>
      </c>
      <c r="Q425" s="1">
        <f>(Table1[[#This Row],[Total_System_Load]]-Table1[[#This Row],[Total_Children_Under_Care]])/Table1[[#This Row],[Total_Children_Under_Care]]*100</f>
        <v>6.1460101867572154</v>
      </c>
      <c r="R425" s="1">
        <f>(Table1[[#This Row],[Children_discharged _from_HHS_ Care]]/Table1[[#This Row],[Children_transferred_out_of_CBP_custody]])</f>
        <v>0.74096385542168675</v>
      </c>
    </row>
    <row r="426" spans="1:18" x14ac:dyDescent="0.3">
      <c r="A426">
        <v>425</v>
      </c>
      <c r="B426" s="7">
        <v>45574</v>
      </c>
      <c r="C426" s="5">
        <v>115</v>
      </c>
      <c r="D426" s="5">
        <v>216</v>
      </c>
      <c r="E426" s="5">
        <v>169</v>
      </c>
      <c r="F426" s="5">
        <v>6047</v>
      </c>
      <c r="G426" s="5">
        <v>137</v>
      </c>
      <c r="H426" t="str">
        <f t="shared" si="31"/>
        <v>Valid</v>
      </c>
      <c r="I426" t="str">
        <f t="shared" si="32"/>
        <v>Valid</v>
      </c>
      <c r="J426" s="5">
        <f t="shared" si="33"/>
        <v>5910</v>
      </c>
      <c r="K426" s="5">
        <f t="shared" si="34"/>
        <v>6263</v>
      </c>
      <c r="L426" s="5">
        <f>IF(Table1[[#This Row],[Total_System_Load]]&gt;80%*AVERAGE(Table1[Total_System_Load]),Table1[[#This Row],[Total_System_Load]]-Table1[[#This Row],[Total_Children_Under_Care]],0)</f>
        <v>353</v>
      </c>
      <c r="M426" s="5">
        <f t="shared" si="30"/>
        <v>32</v>
      </c>
      <c r="N426" s="5">
        <f>M427-Table1[[#This Row],[Net_Daily_Intake]]</f>
        <v>2</v>
      </c>
      <c r="O426" s="5">
        <f>M427-Table1[[#This Row],[Net_Daily_Intake]]/Table1[[#This Row],[Net_Daily_Intake]]</f>
        <v>33</v>
      </c>
      <c r="P426" t="str">
        <f>IF(Table1[[#This Row],[Change_in_Net_Daily_Intake]]&gt;0,"Sustained Positive","Negative")</f>
        <v>Sustained Positive</v>
      </c>
      <c r="Q426" s="1">
        <f>(Table1[[#This Row],[Total_System_Load]]-Table1[[#This Row],[Total_Children_Under_Care]])/Table1[[#This Row],[Total_Children_Under_Care]]*100</f>
        <v>5.9729272419627746</v>
      </c>
      <c r="R426" s="1">
        <f>(Table1[[#This Row],[Children_discharged _from_HHS_ Care]]/Table1[[#This Row],[Children_transferred_out_of_CBP_custody]])</f>
        <v>0.81065088757396453</v>
      </c>
    </row>
    <row r="427" spans="1:18" x14ac:dyDescent="0.3">
      <c r="A427">
        <v>426</v>
      </c>
      <c r="B427" s="7">
        <v>45575</v>
      </c>
      <c r="C427" s="5">
        <v>84</v>
      </c>
      <c r="D427" s="5">
        <v>158</v>
      </c>
      <c r="E427" s="5">
        <v>193</v>
      </c>
      <c r="F427" s="5">
        <v>6075</v>
      </c>
      <c r="G427" s="5">
        <v>159</v>
      </c>
      <c r="H427" t="str">
        <f t="shared" si="31"/>
        <v>Invalid</v>
      </c>
      <c r="I427" t="str">
        <f t="shared" si="32"/>
        <v>Valid</v>
      </c>
      <c r="J427" s="5">
        <f t="shared" si="33"/>
        <v>5916</v>
      </c>
      <c r="K427" s="5">
        <f t="shared" si="34"/>
        <v>6233</v>
      </c>
      <c r="L427" s="5">
        <f>IF(Table1[[#This Row],[Total_System_Load]]&gt;80%*AVERAGE(Table1[Total_System_Load]),Table1[[#This Row],[Total_System_Load]]-Table1[[#This Row],[Total_Children_Under_Care]],0)</f>
        <v>317</v>
      </c>
      <c r="M427" s="5">
        <f t="shared" si="30"/>
        <v>34</v>
      </c>
      <c r="N427" s="5">
        <f>M428-Table1[[#This Row],[Net_Daily_Intake]]</f>
        <v>-52</v>
      </c>
      <c r="O427" s="5">
        <f>M428-Table1[[#This Row],[Net_Daily_Intake]]/Table1[[#This Row],[Net_Daily_Intake]]</f>
        <v>-19</v>
      </c>
      <c r="P427" t="str">
        <f>IF(Table1[[#This Row],[Change_in_Net_Daily_Intake]]&gt;0,"Sustained Positive","Negative")</f>
        <v>Negative</v>
      </c>
      <c r="Q427" s="1">
        <f>(Table1[[#This Row],[Total_System_Load]]-Table1[[#This Row],[Total_Children_Under_Care]])/Table1[[#This Row],[Total_Children_Under_Care]]*100</f>
        <v>5.3583502366463831</v>
      </c>
      <c r="R427" s="1">
        <f>(Table1[[#This Row],[Children_discharged _from_HHS_ Care]]/Table1[[#This Row],[Children_transferred_out_of_CBP_custody]])</f>
        <v>0.82383419689119175</v>
      </c>
    </row>
    <row r="428" spans="1:18" x14ac:dyDescent="0.3">
      <c r="A428">
        <v>427</v>
      </c>
      <c r="B428" s="7">
        <v>45578</v>
      </c>
      <c r="C428" s="5">
        <v>130</v>
      </c>
      <c r="D428" s="5">
        <v>227</v>
      </c>
      <c r="E428" s="5">
        <v>192</v>
      </c>
      <c r="F428" s="5">
        <v>5889</v>
      </c>
      <c r="G428" s="5">
        <v>210</v>
      </c>
      <c r="H428" t="str">
        <f t="shared" si="31"/>
        <v>Valid</v>
      </c>
      <c r="I428" t="str">
        <f t="shared" si="32"/>
        <v>Valid</v>
      </c>
      <c r="J428" s="5">
        <f t="shared" si="33"/>
        <v>5679</v>
      </c>
      <c r="K428" s="5">
        <f t="shared" si="34"/>
        <v>6116</v>
      </c>
      <c r="L428" s="5">
        <f>IF(Table1[[#This Row],[Total_System_Load]]&gt;80%*AVERAGE(Table1[Total_System_Load]),Table1[[#This Row],[Total_System_Load]]-Table1[[#This Row],[Total_Children_Under_Care]],0)</f>
        <v>437</v>
      </c>
      <c r="M428" s="5">
        <f t="shared" si="30"/>
        <v>-18</v>
      </c>
      <c r="N428" s="5">
        <f>M429-Table1[[#This Row],[Net_Daily_Intake]]</f>
        <v>72</v>
      </c>
      <c r="O428" s="5">
        <f>M429-Table1[[#This Row],[Net_Daily_Intake]]/Table1[[#This Row],[Net_Daily_Intake]]</f>
        <v>53</v>
      </c>
      <c r="P428" t="str">
        <f>IF(Table1[[#This Row],[Change_in_Net_Daily_Intake]]&gt;0,"Sustained Positive","Negative")</f>
        <v>Sustained Positive</v>
      </c>
      <c r="Q428" s="1">
        <f>(Table1[[#This Row],[Total_System_Load]]-Table1[[#This Row],[Total_Children_Under_Care]])/Table1[[#This Row],[Total_Children_Under_Care]]*100</f>
        <v>7.6950167282972357</v>
      </c>
      <c r="R428" s="1">
        <f>(Table1[[#This Row],[Children_discharged _from_HHS_ Care]]/Table1[[#This Row],[Children_transferred_out_of_CBP_custody]])</f>
        <v>1.09375</v>
      </c>
    </row>
    <row r="429" spans="1:18" x14ac:dyDescent="0.3">
      <c r="A429">
        <v>428</v>
      </c>
      <c r="B429" s="7">
        <v>45579</v>
      </c>
      <c r="C429" s="5">
        <v>88</v>
      </c>
      <c r="D429" s="5">
        <v>214</v>
      </c>
      <c r="E429" s="5">
        <v>160</v>
      </c>
      <c r="F429" s="5">
        <v>5935</v>
      </c>
      <c r="G429" s="5">
        <v>106</v>
      </c>
      <c r="H429" t="str">
        <f t="shared" si="31"/>
        <v>Valid</v>
      </c>
      <c r="I429" t="str">
        <f t="shared" si="32"/>
        <v>Valid</v>
      </c>
      <c r="J429" s="5">
        <f t="shared" si="33"/>
        <v>5829</v>
      </c>
      <c r="K429" s="5">
        <f t="shared" si="34"/>
        <v>6149</v>
      </c>
      <c r="L429" s="5">
        <f>IF(Table1[[#This Row],[Total_System_Load]]&gt;80%*AVERAGE(Table1[Total_System_Load]),Table1[[#This Row],[Total_System_Load]]-Table1[[#This Row],[Total_Children_Under_Care]],0)</f>
        <v>320</v>
      </c>
      <c r="M429" s="5">
        <f t="shared" si="30"/>
        <v>54</v>
      </c>
      <c r="N429" s="5">
        <f>M430-Table1[[#This Row],[Net_Daily_Intake]]</f>
        <v>-2</v>
      </c>
      <c r="O429" s="5">
        <f>M430-Table1[[#This Row],[Net_Daily_Intake]]/Table1[[#This Row],[Net_Daily_Intake]]</f>
        <v>51</v>
      </c>
      <c r="P429" t="str">
        <f>IF(Table1[[#This Row],[Change_in_Net_Daily_Intake]]&gt;0,"Sustained Positive","Negative")</f>
        <v>Negative</v>
      </c>
      <c r="Q429" s="1">
        <f>(Table1[[#This Row],[Total_System_Load]]-Table1[[#This Row],[Total_Children_Under_Care]])/Table1[[#This Row],[Total_Children_Under_Care]]*100</f>
        <v>5.4897924172242236</v>
      </c>
      <c r="R429" s="1">
        <f>(Table1[[#This Row],[Children_discharged _from_HHS_ Care]]/Table1[[#This Row],[Children_transferred_out_of_CBP_custody]])</f>
        <v>0.66249999999999998</v>
      </c>
    </row>
    <row r="430" spans="1:18" x14ac:dyDescent="0.3">
      <c r="A430">
        <v>429</v>
      </c>
      <c r="B430" s="7">
        <v>45580</v>
      </c>
      <c r="C430" s="5">
        <v>113</v>
      </c>
      <c r="D430" s="5">
        <v>208</v>
      </c>
      <c r="E430" s="5">
        <v>159</v>
      </c>
      <c r="F430" s="5">
        <v>6013</v>
      </c>
      <c r="G430" s="5">
        <v>107</v>
      </c>
      <c r="H430" t="str">
        <f t="shared" si="31"/>
        <v>Valid</v>
      </c>
      <c r="I430" t="str">
        <f t="shared" si="32"/>
        <v>Valid</v>
      </c>
      <c r="J430" s="5">
        <f t="shared" si="33"/>
        <v>5906</v>
      </c>
      <c r="K430" s="5">
        <f t="shared" si="34"/>
        <v>6221</v>
      </c>
      <c r="L430" s="5">
        <f>IF(Table1[[#This Row],[Total_System_Load]]&gt;80%*AVERAGE(Table1[Total_System_Load]),Table1[[#This Row],[Total_System_Load]]-Table1[[#This Row],[Total_Children_Under_Care]],0)</f>
        <v>315</v>
      </c>
      <c r="M430" s="5">
        <f t="shared" si="30"/>
        <v>52</v>
      </c>
      <c r="N430" s="5">
        <f>M431-Table1[[#This Row],[Net_Daily_Intake]]</f>
        <v>-31</v>
      </c>
      <c r="O430" s="5">
        <f>M431-Table1[[#This Row],[Net_Daily_Intake]]/Table1[[#This Row],[Net_Daily_Intake]]</f>
        <v>20</v>
      </c>
      <c r="P430" t="str">
        <f>IF(Table1[[#This Row],[Change_in_Net_Daily_Intake]]&gt;0,"Sustained Positive","Negative")</f>
        <v>Negative</v>
      </c>
      <c r="Q430" s="1">
        <f>(Table1[[#This Row],[Total_System_Load]]-Table1[[#This Row],[Total_Children_Under_Care]])/Table1[[#This Row],[Total_Children_Under_Care]]*100</f>
        <v>5.3335590924483576</v>
      </c>
      <c r="R430" s="1">
        <f>(Table1[[#This Row],[Children_discharged _from_HHS_ Care]]/Table1[[#This Row],[Children_transferred_out_of_CBP_custody]])</f>
        <v>0.67295597484276726</v>
      </c>
    </row>
    <row r="431" spans="1:18" x14ac:dyDescent="0.3">
      <c r="A431">
        <v>430</v>
      </c>
      <c r="B431" s="7">
        <v>45581</v>
      </c>
      <c r="C431" s="5">
        <v>174</v>
      </c>
      <c r="D431" s="5">
        <v>285</v>
      </c>
      <c r="E431" s="5">
        <v>150</v>
      </c>
      <c r="F431" s="5">
        <v>6036</v>
      </c>
      <c r="G431" s="5">
        <v>129</v>
      </c>
      <c r="H431" t="str">
        <f t="shared" si="31"/>
        <v>Valid</v>
      </c>
      <c r="I431" t="str">
        <f t="shared" si="32"/>
        <v>Valid</v>
      </c>
      <c r="J431" s="5">
        <f t="shared" si="33"/>
        <v>5907</v>
      </c>
      <c r="K431" s="5">
        <f t="shared" si="34"/>
        <v>6321</v>
      </c>
      <c r="L431" s="5">
        <f>IF(Table1[[#This Row],[Total_System_Load]]&gt;80%*AVERAGE(Table1[Total_System_Load]),Table1[[#This Row],[Total_System_Load]]-Table1[[#This Row],[Total_Children_Under_Care]],0)</f>
        <v>414</v>
      </c>
      <c r="M431" s="5">
        <f t="shared" si="30"/>
        <v>21</v>
      </c>
      <c r="N431" s="5">
        <f>M432-Table1[[#This Row],[Net_Daily_Intake]]</f>
        <v>25</v>
      </c>
      <c r="O431" s="5">
        <f>M432-Table1[[#This Row],[Net_Daily_Intake]]/Table1[[#This Row],[Net_Daily_Intake]]</f>
        <v>45</v>
      </c>
      <c r="P431" t="str">
        <f>IF(Table1[[#This Row],[Change_in_Net_Daily_Intake]]&gt;0,"Sustained Positive","Negative")</f>
        <v>Sustained Positive</v>
      </c>
      <c r="Q431" s="1">
        <f>(Table1[[#This Row],[Total_System_Load]]-Table1[[#This Row],[Total_Children_Under_Care]])/Table1[[#This Row],[Total_Children_Under_Care]]*100</f>
        <v>7.0086338242762825</v>
      </c>
      <c r="R431" s="1">
        <f>(Table1[[#This Row],[Children_discharged _from_HHS_ Care]]/Table1[[#This Row],[Children_transferred_out_of_CBP_custody]])</f>
        <v>0.86</v>
      </c>
    </row>
    <row r="432" spans="1:18" x14ac:dyDescent="0.3">
      <c r="A432">
        <v>431</v>
      </c>
      <c r="B432" s="7">
        <v>45582</v>
      </c>
      <c r="C432" s="5">
        <v>104</v>
      </c>
      <c r="D432" s="5">
        <v>230</v>
      </c>
      <c r="E432" s="5">
        <v>206</v>
      </c>
      <c r="F432" s="5">
        <v>6076</v>
      </c>
      <c r="G432" s="5">
        <v>160</v>
      </c>
      <c r="H432" t="str">
        <f t="shared" si="31"/>
        <v>Valid</v>
      </c>
      <c r="I432" t="str">
        <f t="shared" si="32"/>
        <v>Valid</v>
      </c>
      <c r="J432" s="5">
        <f t="shared" si="33"/>
        <v>5916</v>
      </c>
      <c r="K432" s="5">
        <f t="shared" si="34"/>
        <v>6306</v>
      </c>
      <c r="L432" s="5">
        <f>IF(Table1[[#This Row],[Total_System_Load]]&gt;80%*AVERAGE(Table1[Total_System_Load]),Table1[[#This Row],[Total_System_Load]]-Table1[[#This Row],[Total_Children_Under_Care]],0)</f>
        <v>390</v>
      </c>
      <c r="M432" s="5">
        <f t="shared" si="30"/>
        <v>46</v>
      </c>
      <c r="N432" s="5">
        <f>M433-Table1[[#This Row],[Net_Daily_Intake]]</f>
        <v>-27</v>
      </c>
      <c r="O432" s="5">
        <f>M433-Table1[[#This Row],[Net_Daily_Intake]]/Table1[[#This Row],[Net_Daily_Intake]]</f>
        <v>18</v>
      </c>
      <c r="P432" t="str">
        <f>IF(Table1[[#This Row],[Change_in_Net_Daily_Intake]]&gt;0,"Sustained Positive","Negative")</f>
        <v>Negative</v>
      </c>
      <c r="Q432" s="1">
        <f>(Table1[[#This Row],[Total_System_Load]]-Table1[[#This Row],[Total_Children_Under_Care]])/Table1[[#This Row],[Total_Children_Under_Care]]*100</f>
        <v>6.5922920892494936</v>
      </c>
      <c r="R432" s="1">
        <f>(Table1[[#This Row],[Children_discharged _from_HHS_ Care]]/Table1[[#This Row],[Children_transferred_out_of_CBP_custody]])</f>
        <v>0.77669902912621358</v>
      </c>
    </row>
    <row r="433" spans="1:18" x14ac:dyDescent="0.3">
      <c r="A433">
        <v>432</v>
      </c>
      <c r="B433" s="7">
        <v>45585</v>
      </c>
      <c r="C433" s="5">
        <v>147</v>
      </c>
      <c r="D433" s="5">
        <v>276</v>
      </c>
      <c r="E433" s="5">
        <v>214</v>
      </c>
      <c r="F433" s="5">
        <v>5918</v>
      </c>
      <c r="G433" s="5">
        <v>195</v>
      </c>
      <c r="H433" t="str">
        <f t="shared" si="31"/>
        <v>Valid</v>
      </c>
      <c r="I433" t="str">
        <f t="shared" si="32"/>
        <v>Valid</v>
      </c>
      <c r="J433" s="5">
        <f t="shared" si="33"/>
        <v>5723</v>
      </c>
      <c r="K433" s="5">
        <f t="shared" si="34"/>
        <v>6194</v>
      </c>
      <c r="L433" s="5">
        <f>IF(Table1[[#This Row],[Total_System_Load]]&gt;80%*AVERAGE(Table1[Total_System_Load]),Table1[[#This Row],[Total_System_Load]]-Table1[[#This Row],[Total_Children_Under_Care]],0)</f>
        <v>471</v>
      </c>
      <c r="M433" s="5">
        <f t="shared" si="30"/>
        <v>19</v>
      </c>
      <c r="N433" s="5">
        <f>M434-Table1[[#This Row],[Net_Daily_Intake]]</f>
        <v>40</v>
      </c>
      <c r="O433" s="5">
        <f>M434-Table1[[#This Row],[Net_Daily_Intake]]/Table1[[#This Row],[Net_Daily_Intake]]</f>
        <v>58</v>
      </c>
      <c r="P433" t="str">
        <f>IF(Table1[[#This Row],[Change_in_Net_Daily_Intake]]&gt;0,"Sustained Positive","Negative")</f>
        <v>Sustained Positive</v>
      </c>
      <c r="Q433" s="1">
        <f>(Table1[[#This Row],[Total_System_Load]]-Table1[[#This Row],[Total_Children_Under_Care]])/Table1[[#This Row],[Total_Children_Under_Care]]*100</f>
        <v>8.2299493272759037</v>
      </c>
      <c r="R433" s="1">
        <f>(Table1[[#This Row],[Children_discharged _from_HHS_ Care]]/Table1[[#This Row],[Children_transferred_out_of_CBP_custody]])</f>
        <v>0.91121495327102808</v>
      </c>
    </row>
    <row r="434" spans="1:18" x14ac:dyDescent="0.3">
      <c r="A434">
        <v>433</v>
      </c>
      <c r="B434" s="7">
        <v>45586</v>
      </c>
      <c r="C434" s="5">
        <v>108</v>
      </c>
      <c r="D434" s="5">
        <v>220</v>
      </c>
      <c r="E434" s="5">
        <v>213</v>
      </c>
      <c r="F434" s="5">
        <v>5966</v>
      </c>
      <c r="G434" s="5">
        <v>154</v>
      </c>
      <c r="H434" t="str">
        <f t="shared" si="31"/>
        <v>Valid</v>
      </c>
      <c r="I434" t="str">
        <f t="shared" si="32"/>
        <v>Valid</v>
      </c>
      <c r="J434" s="5">
        <f t="shared" si="33"/>
        <v>5812</v>
      </c>
      <c r="K434" s="5">
        <f t="shared" si="34"/>
        <v>6186</v>
      </c>
      <c r="L434" s="5">
        <f>IF(Table1[[#This Row],[Total_System_Load]]&gt;80%*AVERAGE(Table1[Total_System_Load]),Table1[[#This Row],[Total_System_Load]]-Table1[[#This Row],[Total_Children_Under_Care]],0)</f>
        <v>374</v>
      </c>
      <c r="M434" s="5">
        <f t="shared" si="30"/>
        <v>59</v>
      </c>
      <c r="N434" s="5">
        <f>M435-Table1[[#This Row],[Net_Daily_Intake]]</f>
        <v>-22</v>
      </c>
      <c r="O434" s="5">
        <f>M435-Table1[[#This Row],[Net_Daily_Intake]]/Table1[[#This Row],[Net_Daily_Intake]]</f>
        <v>36</v>
      </c>
      <c r="P434" t="str">
        <f>IF(Table1[[#This Row],[Change_in_Net_Daily_Intake]]&gt;0,"Sustained Positive","Negative")</f>
        <v>Negative</v>
      </c>
      <c r="Q434" s="1">
        <f>(Table1[[#This Row],[Total_System_Load]]-Table1[[#This Row],[Total_Children_Under_Care]])/Table1[[#This Row],[Total_Children_Under_Care]]*100</f>
        <v>6.4349621472814871</v>
      </c>
      <c r="R434" s="1">
        <f>(Table1[[#This Row],[Children_discharged _from_HHS_ Care]]/Table1[[#This Row],[Children_transferred_out_of_CBP_custody]])</f>
        <v>0.72300469483568075</v>
      </c>
    </row>
    <row r="435" spans="1:18" x14ac:dyDescent="0.3">
      <c r="A435">
        <v>434</v>
      </c>
      <c r="B435" s="7">
        <v>45587</v>
      </c>
      <c r="C435" s="5">
        <v>180</v>
      </c>
      <c r="D435" s="5">
        <v>280</v>
      </c>
      <c r="E435" s="5">
        <v>146</v>
      </c>
      <c r="F435" s="5">
        <v>6043</v>
      </c>
      <c r="G435" s="5">
        <v>109</v>
      </c>
      <c r="H435" t="str">
        <f t="shared" si="31"/>
        <v>Valid</v>
      </c>
      <c r="I435" t="str">
        <f t="shared" si="32"/>
        <v>Valid</v>
      </c>
      <c r="J435" s="5">
        <f t="shared" si="33"/>
        <v>5934</v>
      </c>
      <c r="K435" s="5">
        <f t="shared" si="34"/>
        <v>6323</v>
      </c>
      <c r="L435" s="5">
        <f>IF(Table1[[#This Row],[Total_System_Load]]&gt;80%*AVERAGE(Table1[Total_System_Load]),Table1[[#This Row],[Total_System_Load]]-Table1[[#This Row],[Total_Children_Under_Care]],0)</f>
        <v>389</v>
      </c>
      <c r="M435" s="5">
        <f t="shared" si="30"/>
        <v>37</v>
      </c>
      <c r="N435" s="5">
        <f>M436-Table1[[#This Row],[Net_Daily_Intake]]</f>
        <v>11</v>
      </c>
      <c r="O435" s="5">
        <f>M436-Table1[[#This Row],[Net_Daily_Intake]]/Table1[[#This Row],[Net_Daily_Intake]]</f>
        <v>47</v>
      </c>
      <c r="P435" t="str">
        <f>IF(Table1[[#This Row],[Change_in_Net_Daily_Intake]]&gt;0,"Sustained Positive","Negative")</f>
        <v>Sustained Positive</v>
      </c>
      <c r="Q435" s="1">
        <f>(Table1[[#This Row],[Total_System_Load]]-Table1[[#This Row],[Total_Children_Under_Care]])/Table1[[#This Row],[Total_Children_Under_Care]]*100</f>
        <v>6.5554432086282439</v>
      </c>
      <c r="R435" s="1">
        <f>(Table1[[#This Row],[Children_discharged _from_HHS_ Care]]/Table1[[#This Row],[Children_transferred_out_of_CBP_custody]])</f>
        <v>0.74657534246575341</v>
      </c>
    </row>
    <row r="436" spans="1:18" x14ac:dyDescent="0.3">
      <c r="A436">
        <v>435</v>
      </c>
      <c r="B436" s="7">
        <v>45588</v>
      </c>
      <c r="C436" s="5">
        <v>134</v>
      </c>
      <c r="D436" s="5">
        <v>294</v>
      </c>
      <c r="E436" s="5">
        <v>186</v>
      </c>
      <c r="F436" s="5">
        <v>6077</v>
      </c>
      <c r="G436" s="5">
        <v>138</v>
      </c>
      <c r="H436" t="str">
        <f t="shared" si="31"/>
        <v>Valid</v>
      </c>
      <c r="I436" t="str">
        <f t="shared" si="32"/>
        <v>Valid</v>
      </c>
      <c r="J436" s="5">
        <f t="shared" si="33"/>
        <v>5939</v>
      </c>
      <c r="K436" s="5">
        <f t="shared" si="34"/>
        <v>6371</v>
      </c>
      <c r="L436" s="5">
        <f>IF(Table1[[#This Row],[Total_System_Load]]&gt;80%*AVERAGE(Table1[Total_System_Load]),Table1[[#This Row],[Total_System_Load]]-Table1[[#This Row],[Total_Children_Under_Care]],0)</f>
        <v>432</v>
      </c>
      <c r="M436" s="5">
        <f t="shared" si="30"/>
        <v>48</v>
      </c>
      <c r="N436" s="5">
        <f>M437-Table1[[#This Row],[Net_Daily_Intake]]</f>
        <v>-82</v>
      </c>
      <c r="O436" s="5">
        <f>M437-Table1[[#This Row],[Net_Daily_Intake]]/Table1[[#This Row],[Net_Daily_Intake]]</f>
        <v>-35</v>
      </c>
      <c r="P436" t="str">
        <f>IF(Table1[[#This Row],[Change_in_Net_Daily_Intake]]&gt;0,"Sustained Positive","Negative")</f>
        <v>Negative</v>
      </c>
      <c r="Q436" s="1">
        <f>(Table1[[#This Row],[Total_System_Load]]-Table1[[#This Row],[Total_Children_Under_Care]])/Table1[[#This Row],[Total_Children_Under_Care]]*100</f>
        <v>7.2739518437447384</v>
      </c>
      <c r="R436" s="1">
        <f>(Table1[[#This Row],[Children_discharged _from_HHS_ Care]]/Table1[[#This Row],[Children_transferred_out_of_CBP_custody]])</f>
        <v>0.74193548387096775</v>
      </c>
    </row>
    <row r="437" spans="1:18" x14ac:dyDescent="0.3">
      <c r="A437">
        <v>436</v>
      </c>
      <c r="B437" s="7">
        <v>45592</v>
      </c>
      <c r="C437" s="5">
        <v>202</v>
      </c>
      <c r="D437" s="5">
        <v>313</v>
      </c>
      <c r="E437" s="5">
        <v>158</v>
      </c>
      <c r="F437" s="5">
        <v>5974</v>
      </c>
      <c r="G437" s="5">
        <v>192</v>
      </c>
      <c r="H437" t="str">
        <f t="shared" si="31"/>
        <v>Valid</v>
      </c>
      <c r="I437" t="str">
        <f t="shared" si="32"/>
        <v>Valid</v>
      </c>
      <c r="J437" s="5">
        <f t="shared" si="33"/>
        <v>5782</v>
      </c>
      <c r="K437" s="5">
        <f t="shared" si="34"/>
        <v>6287</v>
      </c>
      <c r="L437" s="5">
        <f>IF(Table1[[#This Row],[Total_System_Load]]&gt;80%*AVERAGE(Table1[Total_System_Load]),Table1[[#This Row],[Total_System_Load]]-Table1[[#This Row],[Total_Children_Under_Care]],0)</f>
        <v>505</v>
      </c>
      <c r="M437" s="5">
        <f t="shared" si="30"/>
        <v>-34</v>
      </c>
      <c r="N437" s="5">
        <f>M438-Table1[[#This Row],[Net_Daily_Intake]]</f>
        <v>71</v>
      </c>
      <c r="O437" s="5">
        <f>M438-Table1[[#This Row],[Net_Daily_Intake]]/Table1[[#This Row],[Net_Daily_Intake]]</f>
        <v>36</v>
      </c>
      <c r="P437" t="str">
        <f>IF(Table1[[#This Row],[Change_in_Net_Daily_Intake]]&gt;0,"Sustained Positive","Negative")</f>
        <v>Sustained Positive</v>
      </c>
      <c r="Q437" s="1">
        <f>(Table1[[#This Row],[Total_System_Load]]-Table1[[#This Row],[Total_Children_Under_Care]])/Table1[[#This Row],[Total_Children_Under_Care]]*100</f>
        <v>8.7340020754064351</v>
      </c>
      <c r="R437" s="1">
        <f>(Table1[[#This Row],[Children_discharged _from_HHS_ Care]]/Table1[[#This Row],[Children_transferred_out_of_CBP_custody]])</f>
        <v>1.2151898734177216</v>
      </c>
    </row>
    <row r="438" spans="1:18" x14ac:dyDescent="0.3">
      <c r="A438">
        <v>437</v>
      </c>
      <c r="B438" s="7">
        <v>45593</v>
      </c>
      <c r="C438" s="5">
        <v>110</v>
      </c>
      <c r="D438" s="5">
        <v>272</v>
      </c>
      <c r="E438" s="5">
        <v>193</v>
      </c>
      <c r="F438" s="5">
        <v>6008</v>
      </c>
      <c r="G438" s="5">
        <v>156</v>
      </c>
      <c r="H438" t="str">
        <f t="shared" si="31"/>
        <v>Valid</v>
      </c>
      <c r="I438" t="str">
        <f t="shared" si="32"/>
        <v>Valid</v>
      </c>
      <c r="J438" s="5">
        <f t="shared" si="33"/>
        <v>5852</v>
      </c>
      <c r="K438" s="5">
        <f t="shared" si="34"/>
        <v>6280</v>
      </c>
      <c r="L438" s="5">
        <f>IF(Table1[[#This Row],[Total_System_Load]]&gt;80%*AVERAGE(Table1[Total_System_Load]),Table1[[#This Row],[Total_System_Load]]-Table1[[#This Row],[Total_Children_Under_Care]],0)</f>
        <v>428</v>
      </c>
      <c r="M438" s="5">
        <f t="shared" si="30"/>
        <v>37</v>
      </c>
      <c r="N438" s="5">
        <f>M439-Table1[[#This Row],[Net_Daily_Intake]]</f>
        <v>66</v>
      </c>
      <c r="O438" s="5">
        <f>M439-Table1[[#This Row],[Net_Daily_Intake]]/Table1[[#This Row],[Net_Daily_Intake]]</f>
        <v>102</v>
      </c>
      <c r="P438" t="str">
        <f>IF(Table1[[#This Row],[Change_in_Net_Daily_Intake]]&gt;0,"Sustained Positive","Negative")</f>
        <v>Sustained Positive</v>
      </c>
      <c r="Q438" s="1">
        <f>(Table1[[#This Row],[Total_System_Load]]-Table1[[#This Row],[Total_Children_Under_Care]])/Table1[[#This Row],[Total_Children_Under_Care]]*100</f>
        <v>7.3137388926862617</v>
      </c>
      <c r="R438" s="1">
        <f>(Table1[[#This Row],[Children_discharged _from_HHS_ Care]]/Table1[[#This Row],[Children_transferred_out_of_CBP_custody]])</f>
        <v>0.80829015544041449</v>
      </c>
    </row>
    <row r="439" spans="1:18" x14ac:dyDescent="0.3">
      <c r="A439">
        <v>438</v>
      </c>
      <c r="B439" s="7">
        <v>45594</v>
      </c>
      <c r="C439" s="5">
        <v>166</v>
      </c>
      <c r="D439" s="5">
        <v>277</v>
      </c>
      <c r="E439" s="5">
        <v>229</v>
      </c>
      <c r="F439" s="5">
        <v>6106</v>
      </c>
      <c r="G439" s="5">
        <v>126</v>
      </c>
      <c r="H439" t="str">
        <f t="shared" si="31"/>
        <v>Valid</v>
      </c>
      <c r="I439" t="str">
        <f t="shared" si="32"/>
        <v>Valid</v>
      </c>
      <c r="J439" s="5">
        <f t="shared" si="33"/>
        <v>5980</v>
      </c>
      <c r="K439" s="5">
        <f t="shared" si="34"/>
        <v>6383</v>
      </c>
      <c r="L439" s="5">
        <f>IF(Table1[[#This Row],[Total_System_Load]]&gt;80%*AVERAGE(Table1[Total_System_Load]),Table1[[#This Row],[Total_System_Load]]-Table1[[#This Row],[Total_Children_Under_Care]],0)</f>
        <v>403</v>
      </c>
      <c r="M439" s="5">
        <f t="shared" si="30"/>
        <v>103</v>
      </c>
      <c r="N439" s="5">
        <f>M440-Table1[[#This Row],[Net_Daily_Intake]]</f>
        <v>-85</v>
      </c>
      <c r="O439" s="5">
        <f>M440-Table1[[#This Row],[Net_Daily_Intake]]/Table1[[#This Row],[Net_Daily_Intake]]</f>
        <v>17</v>
      </c>
      <c r="P439" t="str">
        <f>IF(Table1[[#This Row],[Change_in_Net_Daily_Intake]]&gt;0,"Sustained Positive","Negative")</f>
        <v>Negative</v>
      </c>
      <c r="Q439" s="1">
        <f>(Table1[[#This Row],[Total_System_Load]]-Table1[[#This Row],[Total_Children_Under_Care]])/Table1[[#This Row],[Total_Children_Under_Care]]*100</f>
        <v>6.7391304347826084</v>
      </c>
      <c r="R439" s="1">
        <f>(Table1[[#This Row],[Children_discharged _from_HHS_ Care]]/Table1[[#This Row],[Children_transferred_out_of_CBP_custody]])</f>
        <v>0.55021834061135366</v>
      </c>
    </row>
    <row r="440" spans="1:18" x14ac:dyDescent="0.3">
      <c r="A440">
        <v>439</v>
      </c>
      <c r="B440" s="7">
        <v>45595</v>
      </c>
      <c r="C440" s="5">
        <v>136</v>
      </c>
      <c r="D440" s="5">
        <v>276</v>
      </c>
      <c r="E440" s="5">
        <v>178</v>
      </c>
      <c r="F440" s="5">
        <v>6149</v>
      </c>
      <c r="G440" s="5">
        <v>160</v>
      </c>
      <c r="H440" t="str">
        <f t="shared" si="31"/>
        <v>Valid</v>
      </c>
      <c r="I440" t="str">
        <f t="shared" si="32"/>
        <v>Valid</v>
      </c>
      <c r="J440" s="5">
        <f t="shared" si="33"/>
        <v>5989</v>
      </c>
      <c r="K440" s="5">
        <f t="shared" si="34"/>
        <v>6425</v>
      </c>
      <c r="L440" s="5">
        <f>IF(Table1[[#This Row],[Total_System_Load]]&gt;80%*AVERAGE(Table1[Total_System_Load]),Table1[[#This Row],[Total_System_Load]]-Table1[[#This Row],[Total_Children_Under_Care]],0)</f>
        <v>436</v>
      </c>
      <c r="M440" s="5">
        <f t="shared" si="30"/>
        <v>18</v>
      </c>
      <c r="N440" s="5">
        <f>M441-Table1[[#This Row],[Net_Daily_Intake]]</f>
        <v>-22</v>
      </c>
      <c r="O440" s="5">
        <f>M441-Table1[[#This Row],[Net_Daily_Intake]]/Table1[[#This Row],[Net_Daily_Intake]]</f>
        <v>-5</v>
      </c>
      <c r="P440" t="str">
        <f>IF(Table1[[#This Row],[Change_in_Net_Daily_Intake]]&gt;0,"Sustained Positive","Negative")</f>
        <v>Negative</v>
      </c>
      <c r="Q440" s="1">
        <f>(Table1[[#This Row],[Total_System_Load]]-Table1[[#This Row],[Total_Children_Under_Care]])/Table1[[#This Row],[Total_Children_Under_Care]]*100</f>
        <v>7.2800133578226749</v>
      </c>
      <c r="R440" s="1">
        <f>(Table1[[#This Row],[Children_discharged _from_HHS_ Care]]/Table1[[#This Row],[Children_transferred_out_of_CBP_custody]])</f>
        <v>0.898876404494382</v>
      </c>
    </row>
    <row r="441" spans="1:18" x14ac:dyDescent="0.3">
      <c r="A441">
        <v>440</v>
      </c>
      <c r="B441" s="7">
        <v>45596</v>
      </c>
      <c r="C441" s="5">
        <v>87</v>
      </c>
      <c r="D441" s="5">
        <v>246</v>
      </c>
      <c r="E441" s="5">
        <v>173</v>
      </c>
      <c r="F441" s="5">
        <v>6148</v>
      </c>
      <c r="G441" s="5">
        <v>177</v>
      </c>
      <c r="H441" t="str">
        <f t="shared" si="31"/>
        <v>Valid</v>
      </c>
      <c r="I441" t="str">
        <f t="shared" si="32"/>
        <v>Valid</v>
      </c>
      <c r="J441" s="5">
        <f t="shared" si="33"/>
        <v>5971</v>
      </c>
      <c r="K441" s="5">
        <f t="shared" si="34"/>
        <v>6394</v>
      </c>
      <c r="L441" s="5">
        <f>IF(Table1[[#This Row],[Total_System_Load]]&gt;80%*AVERAGE(Table1[Total_System_Load]),Table1[[#This Row],[Total_System_Load]]-Table1[[#This Row],[Total_Children_Under_Care]],0)</f>
        <v>423</v>
      </c>
      <c r="M441" s="5">
        <f t="shared" si="30"/>
        <v>-4</v>
      </c>
      <c r="N441" s="5">
        <f>M442-Table1[[#This Row],[Net_Daily_Intake]]</f>
        <v>-23</v>
      </c>
      <c r="O441" s="5">
        <f>M442-Table1[[#This Row],[Net_Daily_Intake]]/Table1[[#This Row],[Net_Daily_Intake]]</f>
        <v>-28</v>
      </c>
      <c r="P441" t="str">
        <f>IF(Table1[[#This Row],[Change_in_Net_Daily_Intake]]&gt;0,"Sustained Positive","Negative")</f>
        <v>Negative</v>
      </c>
      <c r="Q441" s="1">
        <f>(Table1[[#This Row],[Total_System_Load]]-Table1[[#This Row],[Total_Children_Under_Care]])/Table1[[#This Row],[Total_Children_Under_Care]]*100</f>
        <v>7.0842404957293592</v>
      </c>
      <c r="R441" s="1">
        <f>(Table1[[#This Row],[Children_discharged _from_HHS_ Care]]/Table1[[#This Row],[Children_transferred_out_of_CBP_custody]])</f>
        <v>1.023121387283237</v>
      </c>
    </row>
    <row r="442" spans="1:18" x14ac:dyDescent="0.3">
      <c r="A442">
        <v>441</v>
      </c>
      <c r="B442" s="7">
        <v>45599</v>
      </c>
      <c r="C442" s="5">
        <v>84</v>
      </c>
      <c r="D442" s="5">
        <v>171</v>
      </c>
      <c r="E442" s="5">
        <v>157</v>
      </c>
      <c r="F442" s="5">
        <v>5990</v>
      </c>
      <c r="G442" s="5">
        <v>184</v>
      </c>
      <c r="H442" t="str">
        <f t="shared" si="31"/>
        <v>Valid</v>
      </c>
      <c r="I442" t="str">
        <f t="shared" si="32"/>
        <v>Valid</v>
      </c>
      <c r="J442" s="5">
        <f t="shared" si="33"/>
        <v>5806</v>
      </c>
      <c r="K442" s="5">
        <f t="shared" si="34"/>
        <v>6161</v>
      </c>
      <c r="L442" s="5">
        <f>IF(Table1[[#This Row],[Total_System_Load]]&gt;80%*AVERAGE(Table1[Total_System_Load]),Table1[[#This Row],[Total_System_Load]]-Table1[[#This Row],[Total_Children_Under_Care]],0)</f>
        <v>355</v>
      </c>
      <c r="M442" s="5">
        <f t="shared" si="30"/>
        <v>-27</v>
      </c>
      <c r="N442" s="5">
        <f>M443-Table1[[#This Row],[Net_Daily_Intake]]</f>
        <v>52</v>
      </c>
      <c r="O442" s="5">
        <f>M443-Table1[[#This Row],[Net_Daily_Intake]]/Table1[[#This Row],[Net_Daily_Intake]]</f>
        <v>24</v>
      </c>
      <c r="P442" t="str">
        <f>IF(Table1[[#This Row],[Change_in_Net_Daily_Intake]]&gt;0,"Sustained Positive","Negative")</f>
        <v>Sustained Positive</v>
      </c>
      <c r="Q442" s="1">
        <f>(Table1[[#This Row],[Total_System_Load]]-Table1[[#This Row],[Total_Children_Under_Care]])/Table1[[#This Row],[Total_Children_Under_Care]]*100</f>
        <v>6.1143644505683774</v>
      </c>
      <c r="R442" s="1">
        <f>(Table1[[#This Row],[Children_discharged _from_HHS_ Care]]/Table1[[#This Row],[Children_transferred_out_of_CBP_custody]])</f>
        <v>1.1719745222929936</v>
      </c>
    </row>
    <row r="443" spans="1:18" x14ac:dyDescent="0.3">
      <c r="A443">
        <v>442</v>
      </c>
      <c r="B443" s="7">
        <v>45600</v>
      </c>
      <c r="C443" s="5">
        <v>167</v>
      </c>
      <c r="D443" s="5">
        <v>209</v>
      </c>
      <c r="E443" s="5">
        <v>157</v>
      </c>
      <c r="F443" s="5">
        <v>6007</v>
      </c>
      <c r="G443" s="5">
        <v>132</v>
      </c>
      <c r="H443" t="str">
        <f t="shared" si="31"/>
        <v>Valid</v>
      </c>
      <c r="I443" t="str">
        <f t="shared" si="32"/>
        <v>Valid</v>
      </c>
      <c r="J443" s="5">
        <f t="shared" si="33"/>
        <v>5875</v>
      </c>
      <c r="K443" s="5">
        <f t="shared" si="34"/>
        <v>6216</v>
      </c>
      <c r="L443" s="5">
        <f>IF(Table1[[#This Row],[Total_System_Load]]&gt;80%*AVERAGE(Table1[Total_System_Load]),Table1[[#This Row],[Total_System_Load]]-Table1[[#This Row],[Total_Children_Under_Care]],0)</f>
        <v>341</v>
      </c>
      <c r="M443" s="5">
        <f t="shared" si="30"/>
        <v>25</v>
      </c>
      <c r="N443" s="5">
        <f>M444-Table1[[#This Row],[Net_Daily_Intake]]</f>
        <v>8</v>
      </c>
      <c r="O443" s="5">
        <f>M444-Table1[[#This Row],[Net_Daily_Intake]]/Table1[[#This Row],[Net_Daily_Intake]]</f>
        <v>32</v>
      </c>
      <c r="P443" t="str">
        <f>IF(Table1[[#This Row],[Change_in_Net_Daily_Intake]]&gt;0,"Sustained Positive","Negative")</f>
        <v>Sustained Positive</v>
      </c>
      <c r="Q443" s="1">
        <f>(Table1[[#This Row],[Total_System_Load]]-Table1[[#This Row],[Total_Children_Under_Care]])/Table1[[#This Row],[Total_Children_Under_Care]]*100</f>
        <v>5.8042553191489361</v>
      </c>
      <c r="R443" s="1">
        <f>(Table1[[#This Row],[Children_discharged _from_HHS_ Care]]/Table1[[#This Row],[Children_transferred_out_of_CBP_custody]])</f>
        <v>0.84076433121019112</v>
      </c>
    </row>
    <row r="444" spans="1:18" x14ac:dyDescent="0.3">
      <c r="A444">
        <v>443</v>
      </c>
      <c r="B444" s="7">
        <v>45601</v>
      </c>
      <c r="C444" s="5">
        <v>109</v>
      </c>
      <c r="D444" s="5">
        <v>245</v>
      </c>
      <c r="E444" s="5">
        <v>159</v>
      </c>
      <c r="F444" s="5">
        <v>6045</v>
      </c>
      <c r="G444" s="5">
        <v>126</v>
      </c>
      <c r="H444" t="str">
        <f t="shared" si="31"/>
        <v>Valid</v>
      </c>
      <c r="I444" t="str">
        <f t="shared" si="32"/>
        <v>Valid</v>
      </c>
      <c r="J444" s="5">
        <f t="shared" si="33"/>
        <v>5919</v>
      </c>
      <c r="K444" s="5">
        <f t="shared" si="34"/>
        <v>6290</v>
      </c>
      <c r="L444" s="5">
        <f>IF(Table1[[#This Row],[Total_System_Load]]&gt;80%*AVERAGE(Table1[Total_System_Load]),Table1[[#This Row],[Total_System_Load]]-Table1[[#This Row],[Total_Children_Under_Care]],0)</f>
        <v>371</v>
      </c>
      <c r="M444" s="5">
        <f t="shared" si="30"/>
        <v>33</v>
      </c>
      <c r="N444" s="5">
        <f>M445-Table1[[#This Row],[Net_Daily_Intake]]</f>
        <v>6</v>
      </c>
      <c r="O444" s="5">
        <f>M445-Table1[[#This Row],[Net_Daily_Intake]]/Table1[[#This Row],[Net_Daily_Intake]]</f>
        <v>38</v>
      </c>
      <c r="P444" t="str">
        <f>IF(Table1[[#This Row],[Change_in_Net_Daily_Intake]]&gt;0,"Sustained Positive","Negative")</f>
        <v>Sustained Positive</v>
      </c>
      <c r="Q444" s="1">
        <f>(Table1[[#This Row],[Total_System_Load]]-Table1[[#This Row],[Total_Children_Under_Care]])/Table1[[#This Row],[Total_Children_Under_Care]]*100</f>
        <v>6.2679506673424559</v>
      </c>
      <c r="R444" s="1">
        <f>(Table1[[#This Row],[Children_discharged _from_HHS_ Care]]/Table1[[#This Row],[Children_transferred_out_of_CBP_custody]])</f>
        <v>0.79245283018867929</v>
      </c>
    </row>
    <row r="445" spans="1:18" x14ac:dyDescent="0.3">
      <c r="A445">
        <v>444</v>
      </c>
      <c r="B445" s="7">
        <v>45602</v>
      </c>
      <c r="C445" s="5">
        <v>156</v>
      </c>
      <c r="D445" s="5">
        <v>256</v>
      </c>
      <c r="E445" s="5">
        <v>176</v>
      </c>
      <c r="F445" s="5">
        <v>6086</v>
      </c>
      <c r="G445" s="5">
        <v>137</v>
      </c>
      <c r="H445" t="str">
        <f t="shared" si="31"/>
        <v>Valid</v>
      </c>
      <c r="I445" t="str">
        <f t="shared" si="32"/>
        <v>Valid</v>
      </c>
      <c r="J445" s="5">
        <f t="shared" si="33"/>
        <v>5949</v>
      </c>
      <c r="K445" s="5">
        <f t="shared" si="34"/>
        <v>6342</v>
      </c>
      <c r="L445" s="5">
        <f>IF(Table1[[#This Row],[Total_System_Load]]&gt;80%*AVERAGE(Table1[Total_System_Load]),Table1[[#This Row],[Total_System_Load]]-Table1[[#This Row],[Total_Children_Under_Care]],0)</f>
        <v>393</v>
      </c>
      <c r="M445" s="5">
        <f t="shared" si="30"/>
        <v>39</v>
      </c>
      <c r="N445" s="5">
        <f>M446-Table1[[#This Row],[Net_Daily_Intake]]</f>
        <v>-24</v>
      </c>
      <c r="O445" s="5">
        <f>M446-Table1[[#This Row],[Net_Daily_Intake]]/Table1[[#This Row],[Net_Daily_Intake]]</f>
        <v>14</v>
      </c>
      <c r="P445" t="str">
        <f>IF(Table1[[#This Row],[Change_in_Net_Daily_Intake]]&gt;0,"Sustained Positive","Negative")</f>
        <v>Negative</v>
      </c>
      <c r="Q445" s="1">
        <f>(Table1[[#This Row],[Total_System_Load]]-Table1[[#This Row],[Total_Children_Under_Care]])/Table1[[#This Row],[Total_Children_Under_Care]]*100</f>
        <v>6.6061522945032776</v>
      </c>
      <c r="R445" s="1">
        <f>(Table1[[#This Row],[Children_discharged _from_HHS_ Care]]/Table1[[#This Row],[Children_transferred_out_of_CBP_custody]])</f>
        <v>0.77840909090909094</v>
      </c>
    </row>
    <row r="446" spans="1:18" x14ac:dyDescent="0.3">
      <c r="A446">
        <v>445</v>
      </c>
      <c r="B446" s="7">
        <v>45603</v>
      </c>
      <c r="C446" s="5">
        <v>125</v>
      </c>
      <c r="D446" s="5">
        <v>232</v>
      </c>
      <c r="E446" s="5">
        <v>192</v>
      </c>
      <c r="F446" s="5">
        <v>6084</v>
      </c>
      <c r="G446" s="5">
        <v>177</v>
      </c>
      <c r="H446" t="str">
        <f t="shared" si="31"/>
        <v>Valid</v>
      </c>
      <c r="I446" t="str">
        <f t="shared" si="32"/>
        <v>Valid</v>
      </c>
      <c r="J446" s="5">
        <f t="shared" si="33"/>
        <v>5907</v>
      </c>
      <c r="K446" s="5">
        <f t="shared" si="34"/>
        <v>6316</v>
      </c>
      <c r="L446" s="5">
        <f>IF(Table1[[#This Row],[Total_System_Load]]&gt;80%*AVERAGE(Table1[Total_System_Load]),Table1[[#This Row],[Total_System_Load]]-Table1[[#This Row],[Total_Children_Under_Care]],0)</f>
        <v>409</v>
      </c>
      <c r="M446" s="5">
        <f t="shared" si="30"/>
        <v>15</v>
      </c>
      <c r="N446" s="5">
        <f>M447-Table1[[#This Row],[Net_Daily_Intake]]</f>
        <v>8</v>
      </c>
      <c r="O446" s="5">
        <f>M447-Table1[[#This Row],[Net_Daily_Intake]]/Table1[[#This Row],[Net_Daily_Intake]]</f>
        <v>22</v>
      </c>
      <c r="P446" t="str">
        <f>IF(Table1[[#This Row],[Change_in_Net_Daily_Intake]]&gt;0,"Sustained Positive","Negative")</f>
        <v>Sustained Positive</v>
      </c>
      <c r="Q446" s="1">
        <f>(Table1[[#This Row],[Total_System_Load]]-Table1[[#This Row],[Total_Children_Under_Care]])/Table1[[#This Row],[Total_Children_Under_Care]]*100</f>
        <v>6.9239884882342979</v>
      </c>
      <c r="R446" s="1">
        <f>(Table1[[#This Row],[Children_discharged _from_HHS_ Care]]/Table1[[#This Row],[Children_transferred_out_of_CBP_custody]])</f>
        <v>0.921875</v>
      </c>
    </row>
    <row r="447" spans="1:18" x14ac:dyDescent="0.3">
      <c r="A447">
        <v>446</v>
      </c>
      <c r="B447" s="7">
        <v>45607</v>
      </c>
      <c r="C447" s="5">
        <v>118</v>
      </c>
      <c r="D447" s="5">
        <v>139</v>
      </c>
      <c r="E447" s="5">
        <v>168</v>
      </c>
      <c r="F447" s="5">
        <v>5963</v>
      </c>
      <c r="G447" s="5">
        <v>145</v>
      </c>
      <c r="H447" t="str">
        <f t="shared" si="31"/>
        <v>Invalid</v>
      </c>
      <c r="I447" t="str">
        <f t="shared" si="32"/>
        <v>Valid</v>
      </c>
      <c r="J447" s="5">
        <f t="shared" si="33"/>
        <v>5818</v>
      </c>
      <c r="K447" s="5">
        <f t="shared" si="34"/>
        <v>6102</v>
      </c>
      <c r="L447" s="5">
        <f>IF(Table1[[#This Row],[Total_System_Load]]&gt;80%*AVERAGE(Table1[Total_System_Load]),Table1[[#This Row],[Total_System_Load]]-Table1[[#This Row],[Total_Children_Under_Care]],0)</f>
        <v>284</v>
      </c>
      <c r="M447" s="5">
        <f t="shared" si="30"/>
        <v>23</v>
      </c>
      <c r="N447" s="5">
        <f>M448-Table1[[#This Row],[Net_Daily_Intake]]</f>
        <v>-22</v>
      </c>
      <c r="O447" s="5">
        <f>M448-Table1[[#This Row],[Net_Daily_Intake]]/Table1[[#This Row],[Net_Daily_Intake]]</f>
        <v>0</v>
      </c>
      <c r="P447" t="str">
        <f>IF(Table1[[#This Row],[Change_in_Net_Daily_Intake]]&gt;0,"Sustained Positive","Negative")</f>
        <v>Negative</v>
      </c>
      <c r="Q447" s="1">
        <f>(Table1[[#This Row],[Total_System_Load]]-Table1[[#This Row],[Total_Children_Under_Care]])/Table1[[#This Row],[Total_Children_Under_Care]]*100</f>
        <v>4.8814025438294948</v>
      </c>
      <c r="R447" s="1">
        <f>(Table1[[#This Row],[Children_discharged _from_HHS_ Care]]/Table1[[#This Row],[Children_transferred_out_of_CBP_custody]])</f>
        <v>0.86309523809523814</v>
      </c>
    </row>
    <row r="448" spans="1:18" x14ac:dyDescent="0.3">
      <c r="A448">
        <v>447</v>
      </c>
      <c r="B448" s="7">
        <v>45608</v>
      </c>
      <c r="C448" s="5">
        <v>142</v>
      </c>
      <c r="D448" s="5">
        <v>235</v>
      </c>
      <c r="E448" s="5">
        <v>139</v>
      </c>
      <c r="F448" s="5">
        <v>5975</v>
      </c>
      <c r="G448" s="5">
        <v>138</v>
      </c>
      <c r="H448" t="str">
        <f t="shared" si="31"/>
        <v>Valid</v>
      </c>
      <c r="I448" t="str">
        <f t="shared" si="32"/>
        <v>Valid</v>
      </c>
      <c r="J448" s="5">
        <f t="shared" si="33"/>
        <v>5837</v>
      </c>
      <c r="K448" s="5">
        <f t="shared" si="34"/>
        <v>6210</v>
      </c>
      <c r="L448" s="5">
        <f>IF(Table1[[#This Row],[Total_System_Load]]&gt;80%*AVERAGE(Table1[Total_System_Load]),Table1[[#This Row],[Total_System_Load]]-Table1[[#This Row],[Total_Children_Under_Care]],0)</f>
        <v>373</v>
      </c>
      <c r="M448" s="5">
        <f t="shared" si="30"/>
        <v>1</v>
      </c>
      <c r="N448" s="5">
        <f>M449-Table1[[#This Row],[Net_Daily_Intake]]</f>
        <v>23</v>
      </c>
      <c r="O448" s="5">
        <f>M449-Table1[[#This Row],[Net_Daily_Intake]]/Table1[[#This Row],[Net_Daily_Intake]]</f>
        <v>23</v>
      </c>
      <c r="P448" t="str">
        <f>IF(Table1[[#This Row],[Change_in_Net_Daily_Intake]]&gt;0,"Sustained Positive","Negative")</f>
        <v>Sustained Positive</v>
      </c>
      <c r="Q448" s="1">
        <f>(Table1[[#This Row],[Total_System_Load]]-Table1[[#This Row],[Total_Children_Under_Care]])/Table1[[#This Row],[Total_Children_Under_Care]]*100</f>
        <v>6.3902689737879044</v>
      </c>
      <c r="R448" s="1">
        <f>(Table1[[#This Row],[Children_discharged _from_HHS_ Care]]/Table1[[#This Row],[Children_transferred_out_of_CBP_custody]])</f>
        <v>0.9928057553956835</v>
      </c>
    </row>
    <row r="449" spans="1:18" x14ac:dyDescent="0.3">
      <c r="A449">
        <v>448</v>
      </c>
      <c r="B449" s="7">
        <v>45609</v>
      </c>
      <c r="C449" s="5">
        <v>148</v>
      </c>
      <c r="D449" s="5">
        <v>245</v>
      </c>
      <c r="E449" s="5">
        <v>175</v>
      </c>
      <c r="F449" s="5">
        <v>5966</v>
      </c>
      <c r="G449" s="5">
        <v>151</v>
      </c>
      <c r="H449" t="str">
        <f t="shared" si="31"/>
        <v>Valid</v>
      </c>
      <c r="I449" t="str">
        <f t="shared" si="32"/>
        <v>Valid</v>
      </c>
      <c r="J449" s="5">
        <f t="shared" si="33"/>
        <v>5815</v>
      </c>
      <c r="K449" s="5">
        <f t="shared" si="34"/>
        <v>6211</v>
      </c>
      <c r="L449" s="5">
        <f>IF(Table1[[#This Row],[Total_System_Load]]&gt;80%*AVERAGE(Table1[Total_System_Load]),Table1[[#This Row],[Total_System_Load]]-Table1[[#This Row],[Total_Children_Under_Care]],0)</f>
        <v>396</v>
      </c>
      <c r="M449" s="5">
        <f t="shared" si="30"/>
        <v>24</v>
      </c>
      <c r="N449" s="5">
        <f>M450-Table1[[#This Row],[Net_Daily_Intake]]</f>
        <v>14</v>
      </c>
      <c r="O449" s="5">
        <f>M450-Table1[[#This Row],[Net_Daily_Intake]]/Table1[[#This Row],[Net_Daily_Intake]]</f>
        <v>37</v>
      </c>
      <c r="P449" t="str">
        <f>IF(Table1[[#This Row],[Change_in_Net_Daily_Intake]]&gt;0,"Sustained Positive","Negative")</f>
        <v>Sustained Positive</v>
      </c>
      <c r="Q449" s="1">
        <f>(Table1[[#This Row],[Total_System_Load]]-Table1[[#This Row],[Total_Children_Under_Care]])/Table1[[#This Row],[Total_Children_Under_Care]]*100</f>
        <v>6.8099742046431642</v>
      </c>
      <c r="R449" s="1">
        <f>(Table1[[#This Row],[Children_discharged _from_HHS_ Care]]/Table1[[#This Row],[Children_transferred_out_of_CBP_custody]])</f>
        <v>0.86285714285714288</v>
      </c>
    </row>
    <row r="450" spans="1:18" x14ac:dyDescent="0.3">
      <c r="A450">
        <v>449</v>
      </c>
      <c r="B450" s="7">
        <v>45610</v>
      </c>
      <c r="C450" s="5">
        <v>119</v>
      </c>
      <c r="D450" s="5">
        <v>219</v>
      </c>
      <c r="E450" s="5">
        <v>210</v>
      </c>
      <c r="F450" s="5">
        <v>6025</v>
      </c>
      <c r="G450" s="5">
        <v>172</v>
      </c>
      <c r="H450" t="str">
        <f t="shared" si="31"/>
        <v>Valid</v>
      </c>
      <c r="I450" t="str">
        <f t="shared" si="32"/>
        <v>Valid</v>
      </c>
      <c r="J450" s="5">
        <f t="shared" si="33"/>
        <v>5853</v>
      </c>
      <c r="K450" s="5">
        <f t="shared" si="34"/>
        <v>6244</v>
      </c>
      <c r="L450" s="5">
        <f>IF(Table1[[#This Row],[Total_System_Load]]&gt;80%*AVERAGE(Table1[Total_System_Load]),Table1[[#This Row],[Total_System_Load]]-Table1[[#This Row],[Total_Children_Under_Care]],0)</f>
        <v>391</v>
      </c>
      <c r="M450" s="5">
        <f t="shared" ref="M450:M513" si="35">E450-G450</f>
        <v>38</v>
      </c>
      <c r="N450" s="5">
        <f>M451-Table1[[#This Row],[Net_Daily_Intake]]</f>
        <v>-84</v>
      </c>
      <c r="O450" s="5">
        <f>M451-Table1[[#This Row],[Net_Daily_Intake]]/Table1[[#This Row],[Net_Daily_Intake]]</f>
        <v>-47</v>
      </c>
      <c r="P450" t="str">
        <f>IF(Table1[[#This Row],[Change_in_Net_Daily_Intake]]&gt;0,"Sustained Positive","Negative")</f>
        <v>Negative</v>
      </c>
      <c r="Q450" s="1">
        <f>(Table1[[#This Row],[Total_System_Load]]-Table1[[#This Row],[Total_Children_Under_Care]])/Table1[[#This Row],[Total_Children_Under_Care]]*100</f>
        <v>6.6803348710063215</v>
      </c>
      <c r="R450" s="1">
        <f>(Table1[[#This Row],[Children_discharged _from_HHS_ Care]]/Table1[[#This Row],[Children_transferred_out_of_CBP_custody]])</f>
        <v>0.81904761904761902</v>
      </c>
    </row>
    <row r="451" spans="1:18" x14ac:dyDescent="0.3">
      <c r="A451">
        <v>450</v>
      </c>
      <c r="B451" s="7">
        <v>45613</v>
      </c>
      <c r="C451" s="5">
        <v>105</v>
      </c>
      <c r="D451" s="5">
        <v>210</v>
      </c>
      <c r="E451" s="5">
        <v>149</v>
      </c>
      <c r="F451" s="5">
        <v>5816</v>
      </c>
      <c r="G451" s="5">
        <v>195</v>
      </c>
      <c r="H451" t="str">
        <f t="shared" ref="H451:H514" si="36">IF(E451&lt;=D451,"Valid","Invalid")</f>
        <v>Valid</v>
      </c>
      <c r="I451" t="str">
        <f t="shared" ref="I451:I514" si="37">IF(G451&lt;=F451,"Valid","Invalid")</f>
        <v>Valid</v>
      </c>
      <c r="J451" s="5">
        <f t="shared" ref="J451:J514" si="38">F451-G451</f>
        <v>5621</v>
      </c>
      <c r="K451" s="5">
        <f t="shared" ref="K451:K514" si="39">D451+F451</f>
        <v>6026</v>
      </c>
      <c r="L451" s="5">
        <f>IF(Table1[[#This Row],[Total_System_Load]]&gt;80%*AVERAGE(Table1[Total_System_Load]),Table1[[#This Row],[Total_System_Load]]-Table1[[#This Row],[Total_Children_Under_Care]],0)</f>
        <v>405</v>
      </c>
      <c r="M451" s="5">
        <f t="shared" si="35"/>
        <v>-46</v>
      </c>
      <c r="N451" s="5">
        <f>M452-Table1[[#This Row],[Net_Daily_Intake]]</f>
        <v>71</v>
      </c>
      <c r="O451" s="5">
        <f>M452-Table1[[#This Row],[Net_Daily_Intake]]/Table1[[#This Row],[Net_Daily_Intake]]</f>
        <v>24</v>
      </c>
      <c r="P451" t="str">
        <f>IF(Table1[[#This Row],[Change_in_Net_Daily_Intake]]&gt;0,"Sustained Positive","Negative")</f>
        <v>Sustained Positive</v>
      </c>
      <c r="Q451" s="1">
        <f>(Table1[[#This Row],[Total_System_Load]]-Table1[[#This Row],[Total_Children_Under_Care]])/Table1[[#This Row],[Total_Children_Under_Care]]*100</f>
        <v>7.2051236434798076</v>
      </c>
      <c r="R451" s="1">
        <f>(Table1[[#This Row],[Children_discharged _from_HHS_ Care]]/Table1[[#This Row],[Children_transferred_out_of_CBP_custody]])</f>
        <v>1.3087248322147651</v>
      </c>
    </row>
    <row r="452" spans="1:18" x14ac:dyDescent="0.3">
      <c r="A452">
        <v>451</v>
      </c>
      <c r="B452" s="7">
        <v>45614</v>
      </c>
      <c r="C452" s="5">
        <v>143</v>
      </c>
      <c r="D452" s="5">
        <v>203</v>
      </c>
      <c r="E452" s="5">
        <v>163</v>
      </c>
      <c r="F452" s="5">
        <v>5819</v>
      </c>
      <c r="G452" s="5">
        <v>138</v>
      </c>
      <c r="H452" t="str">
        <f t="shared" si="36"/>
        <v>Valid</v>
      </c>
      <c r="I452" t="str">
        <f t="shared" si="37"/>
        <v>Valid</v>
      </c>
      <c r="J452" s="5">
        <f t="shared" si="38"/>
        <v>5681</v>
      </c>
      <c r="K452" s="5">
        <f t="shared" si="39"/>
        <v>6022</v>
      </c>
      <c r="L452" s="5">
        <f>IF(Table1[[#This Row],[Total_System_Load]]&gt;80%*AVERAGE(Table1[Total_System_Load]),Table1[[#This Row],[Total_System_Load]]-Table1[[#This Row],[Total_Children_Under_Care]],0)</f>
        <v>341</v>
      </c>
      <c r="M452" s="5">
        <f t="shared" si="35"/>
        <v>25</v>
      </c>
      <c r="N452" s="5">
        <f>M453-Table1[[#This Row],[Net_Daily_Intake]]</f>
        <v>-19</v>
      </c>
      <c r="O452" s="5">
        <f>M453-Table1[[#This Row],[Net_Daily_Intake]]/Table1[[#This Row],[Net_Daily_Intake]]</f>
        <v>5</v>
      </c>
      <c r="P452" t="str">
        <f>IF(Table1[[#This Row],[Change_in_Net_Daily_Intake]]&gt;0,"Sustained Positive","Negative")</f>
        <v>Negative</v>
      </c>
      <c r="Q452" s="1">
        <f>(Table1[[#This Row],[Total_System_Load]]-Table1[[#This Row],[Total_Children_Under_Care]])/Table1[[#This Row],[Total_Children_Under_Care]]*100</f>
        <v>6.0024643548671008</v>
      </c>
      <c r="R452" s="1">
        <f>(Table1[[#This Row],[Children_discharged _from_HHS_ Care]]/Table1[[#This Row],[Children_transferred_out_of_CBP_custody]])</f>
        <v>0.84662576687116564</v>
      </c>
    </row>
    <row r="453" spans="1:18" x14ac:dyDescent="0.3">
      <c r="A453">
        <v>452</v>
      </c>
      <c r="B453" s="7">
        <v>45615</v>
      </c>
      <c r="C453" s="5">
        <v>119</v>
      </c>
      <c r="D453" s="5">
        <v>209</v>
      </c>
      <c r="E453" s="5">
        <v>152</v>
      </c>
      <c r="F453" s="5">
        <v>5844</v>
      </c>
      <c r="G453" s="5">
        <v>146</v>
      </c>
      <c r="H453" t="str">
        <f t="shared" si="36"/>
        <v>Valid</v>
      </c>
      <c r="I453" t="str">
        <f t="shared" si="37"/>
        <v>Valid</v>
      </c>
      <c r="J453" s="5">
        <f t="shared" si="38"/>
        <v>5698</v>
      </c>
      <c r="K453" s="5">
        <f t="shared" si="39"/>
        <v>6053</v>
      </c>
      <c r="L453" s="5">
        <f>IF(Table1[[#This Row],[Total_System_Load]]&gt;80%*AVERAGE(Table1[Total_System_Load]),Table1[[#This Row],[Total_System_Load]]-Table1[[#This Row],[Total_Children_Under_Care]],0)</f>
        <v>355</v>
      </c>
      <c r="M453" s="5">
        <f t="shared" si="35"/>
        <v>6</v>
      </c>
      <c r="N453" s="5">
        <f>M454-Table1[[#This Row],[Net_Daily_Intake]]</f>
        <v>27</v>
      </c>
      <c r="O453" s="5">
        <f>M454-Table1[[#This Row],[Net_Daily_Intake]]/Table1[[#This Row],[Net_Daily_Intake]]</f>
        <v>32</v>
      </c>
      <c r="P453" t="str">
        <f>IF(Table1[[#This Row],[Change_in_Net_Daily_Intake]]&gt;0,"Sustained Positive","Negative")</f>
        <v>Sustained Positive</v>
      </c>
      <c r="Q453" s="1">
        <f>(Table1[[#This Row],[Total_System_Load]]-Table1[[#This Row],[Total_Children_Under_Care]])/Table1[[#This Row],[Total_Children_Under_Care]]*100</f>
        <v>6.2302562302562299</v>
      </c>
      <c r="R453" s="1">
        <f>(Table1[[#This Row],[Children_discharged _from_HHS_ Care]]/Table1[[#This Row],[Children_transferred_out_of_CBP_custody]])</f>
        <v>0.96052631578947367</v>
      </c>
    </row>
    <row r="454" spans="1:18" x14ac:dyDescent="0.3">
      <c r="A454">
        <v>453</v>
      </c>
      <c r="B454" s="7">
        <v>45616</v>
      </c>
      <c r="C454" s="5">
        <v>155</v>
      </c>
      <c r="D454" s="5">
        <v>212</v>
      </c>
      <c r="E454" s="5">
        <v>181</v>
      </c>
      <c r="F454" s="5">
        <v>5879</v>
      </c>
      <c r="G454" s="5">
        <v>148</v>
      </c>
      <c r="H454" t="str">
        <f t="shared" si="36"/>
        <v>Valid</v>
      </c>
      <c r="I454" t="str">
        <f t="shared" si="37"/>
        <v>Valid</v>
      </c>
      <c r="J454" s="5">
        <f t="shared" si="38"/>
        <v>5731</v>
      </c>
      <c r="K454" s="5">
        <f t="shared" si="39"/>
        <v>6091</v>
      </c>
      <c r="L454" s="5">
        <f>IF(Table1[[#This Row],[Total_System_Load]]&gt;80%*AVERAGE(Table1[Total_System_Load]),Table1[[#This Row],[Total_System_Load]]-Table1[[#This Row],[Total_Children_Under_Care]],0)</f>
        <v>360</v>
      </c>
      <c r="M454" s="5">
        <f t="shared" si="35"/>
        <v>33</v>
      </c>
      <c r="N454" s="5">
        <f>M455-Table1[[#This Row],[Net_Daily_Intake]]</f>
        <v>-70</v>
      </c>
      <c r="O454" s="5">
        <f>M455-Table1[[#This Row],[Net_Daily_Intake]]/Table1[[#This Row],[Net_Daily_Intake]]</f>
        <v>-38</v>
      </c>
      <c r="P454" t="str">
        <f>IF(Table1[[#This Row],[Change_in_Net_Daily_Intake]]&gt;0,"Sustained Positive","Negative")</f>
        <v>Negative</v>
      </c>
      <c r="Q454" s="1">
        <f>(Table1[[#This Row],[Total_System_Load]]-Table1[[#This Row],[Total_Children_Under_Care]])/Table1[[#This Row],[Total_Children_Under_Care]]*100</f>
        <v>6.2816262432385281</v>
      </c>
      <c r="R454" s="1">
        <f>(Table1[[#This Row],[Children_discharged _from_HHS_ Care]]/Table1[[#This Row],[Children_transferred_out_of_CBP_custody]])</f>
        <v>0.81767955801104975</v>
      </c>
    </row>
    <row r="455" spans="1:18" x14ac:dyDescent="0.3">
      <c r="A455">
        <v>454</v>
      </c>
      <c r="B455" s="7">
        <v>45617</v>
      </c>
      <c r="C455" s="5">
        <v>109</v>
      </c>
      <c r="D455" s="5">
        <v>214</v>
      </c>
      <c r="E455" s="5">
        <v>173</v>
      </c>
      <c r="F455" s="5">
        <v>5850</v>
      </c>
      <c r="G455" s="5">
        <v>210</v>
      </c>
      <c r="H455" t="str">
        <f t="shared" si="36"/>
        <v>Valid</v>
      </c>
      <c r="I455" t="str">
        <f t="shared" si="37"/>
        <v>Valid</v>
      </c>
      <c r="J455" s="5">
        <f t="shared" si="38"/>
        <v>5640</v>
      </c>
      <c r="K455" s="5">
        <f t="shared" si="39"/>
        <v>6064</v>
      </c>
      <c r="L455" s="5">
        <f>IF(Table1[[#This Row],[Total_System_Load]]&gt;80%*AVERAGE(Table1[Total_System_Load]),Table1[[#This Row],[Total_System_Load]]-Table1[[#This Row],[Total_Children_Under_Care]],0)</f>
        <v>424</v>
      </c>
      <c r="M455" s="5">
        <f t="shared" si="35"/>
        <v>-37</v>
      </c>
      <c r="N455" s="5">
        <f>M456-Table1[[#This Row],[Net_Daily_Intake]]</f>
        <v>22</v>
      </c>
      <c r="O455" s="5">
        <f>M456-Table1[[#This Row],[Net_Daily_Intake]]/Table1[[#This Row],[Net_Daily_Intake]]</f>
        <v>-16</v>
      </c>
      <c r="P455" t="str">
        <f>IF(Table1[[#This Row],[Change_in_Net_Daily_Intake]]&gt;0,"Sustained Positive","Negative")</f>
        <v>Sustained Positive</v>
      </c>
      <c r="Q455" s="1">
        <f>(Table1[[#This Row],[Total_System_Load]]-Table1[[#This Row],[Total_Children_Under_Care]])/Table1[[#This Row],[Total_Children_Under_Care]]*100</f>
        <v>7.5177304964539005</v>
      </c>
      <c r="R455" s="1">
        <f>(Table1[[#This Row],[Children_discharged _from_HHS_ Care]]/Table1[[#This Row],[Children_transferred_out_of_CBP_custody]])</f>
        <v>1.2138728323699421</v>
      </c>
    </row>
    <row r="456" spans="1:18" x14ac:dyDescent="0.3">
      <c r="A456">
        <v>455</v>
      </c>
      <c r="B456" s="7">
        <v>45620</v>
      </c>
      <c r="C456" s="5">
        <v>191</v>
      </c>
      <c r="D456" s="5">
        <v>283</v>
      </c>
      <c r="E456" s="5">
        <v>192</v>
      </c>
      <c r="F456" s="5">
        <v>5664</v>
      </c>
      <c r="G456" s="5">
        <v>207</v>
      </c>
      <c r="H456" t="str">
        <f t="shared" si="36"/>
        <v>Valid</v>
      </c>
      <c r="I456" t="str">
        <f t="shared" si="37"/>
        <v>Valid</v>
      </c>
      <c r="J456" s="5">
        <f t="shared" si="38"/>
        <v>5457</v>
      </c>
      <c r="K456" s="5">
        <f t="shared" si="39"/>
        <v>5947</v>
      </c>
      <c r="L456" s="5">
        <f>IF(Table1[[#This Row],[Total_System_Load]]&gt;80%*AVERAGE(Table1[Total_System_Load]),Table1[[#This Row],[Total_System_Load]]-Table1[[#This Row],[Total_Children_Under_Care]],0)</f>
        <v>490</v>
      </c>
      <c r="M456" s="5">
        <f t="shared" si="35"/>
        <v>-15</v>
      </c>
      <c r="N456" s="5">
        <f>M457-Table1[[#This Row],[Net_Daily_Intake]]</f>
        <v>82</v>
      </c>
      <c r="O456" s="5">
        <f>M457-Table1[[#This Row],[Net_Daily_Intake]]/Table1[[#This Row],[Net_Daily_Intake]]</f>
        <v>66</v>
      </c>
      <c r="P456" t="str">
        <f>IF(Table1[[#This Row],[Change_in_Net_Daily_Intake]]&gt;0,"Sustained Positive","Negative")</f>
        <v>Sustained Positive</v>
      </c>
      <c r="Q456" s="1">
        <f>(Table1[[#This Row],[Total_System_Load]]-Table1[[#This Row],[Total_Children_Under_Care]])/Table1[[#This Row],[Total_Children_Under_Care]]*100</f>
        <v>8.9792926516400957</v>
      </c>
      <c r="R456" s="1">
        <f>(Table1[[#This Row],[Children_discharged _from_HHS_ Care]]/Table1[[#This Row],[Children_transferred_out_of_CBP_custody]])</f>
        <v>1.078125</v>
      </c>
    </row>
    <row r="457" spans="1:18" x14ac:dyDescent="0.3">
      <c r="A457">
        <v>456</v>
      </c>
      <c r="B457" s="7">
        <v>45621</v>
      </c>
      <c r="C457" s="5">
        <v>170</v>
      </c>
      <c r="D457" s="5">
        <v>297</v>
      </c>
      <c r="E457" s="5">
        <v>196</v>
      </c>
      <c r="F457" s="5">
        <v>5715</v>
      </c>
      <c r="G457" s="5">
        <v>129</v>
      </c>
      <c r="H457" t="str">
        <f t="shared" si="36"/>
        <v>Valid</v>
      </c>
      <c r="I457" t="str">
        <f t="shared" si="37"/>
        <v>Valid</v>
      </c>
      <c r="J457" s="5">
        <f t="shared" si="38"/>
        <v>5586</v>
      </c>
      <c r="K457" s="5">
        <f t="shared" si="39"/>
        <v>6012</v>
      </c>
      <c r="L457" s="5">
        <f>IF(Table1[[#This Row],[Total_System_Load]]&gt;80%*AVERAGE(Table1[Total_System_Load]),Table1[[#This Row],[Total_System_Load]]-Table1[[#This Row],[Total_Children_Under_Care]],0)</f>
        <v>426</v>
      </c>
      <c r="M457" s="5">
        <f t="shared" si="35"/>
        <v>67</v>
      </c>
      <c r="N457" s="5">
        <f>M458-Table1[[#This Row],[Net_Daily_Intake]]</f>
        <v>35</v>
      </c>
      <c r="O457" s="5">
        <f>M458-Table1[[#This Row],[Net_Daily_Intake]]/Table1[[#This Row],[Net_Daily_Intake]]</f>
        <v>101</v>
      </c>
      <c r="P457" t="str">
        <f>IF(Table1[[#This Row],[Change_in_Net_Daily_Intake]]&gt;0,"Sustained Positive","Negative")</f>
        <v>Sustained Positive</v>
      </c>
      <c r="Q457" s="1">
        <f>(Table1[[#This Row],[Total_System_Load]]-Table1[[#This Row],[Total_Children_Under_Care]])/Table1[[#This Row],[Total_Children_Under_Care]]*100</f>
        <v>7.6262083780880774</v>
      </c>
      <c r="R457" s="1">
        <f>(Table1[[#This Row],[Children_discharged _from_HHS_ Care]]/Table1[[#This Row],[Children_transferred_out_of_CBP_custody]])</f>
        <v>0.65816326530612246</v>
      </c>
    </row>
    <row r="458" spans="1:18" x14ac:dyDescent="0.3">
      <c r="A458">
        <v>457</v>
      </c>
      <c r="B458" s="7">
        <v>45622</v>
      </c>
      <c r="C458" s="5">
        <v>152</v>
      </c>
      <c r="D458" s="5">
        <v>272</v>
      </c>
      <c r="E458" s="5">
        <v>214</v>
      </c>
      <c r="F458" s="5">
        <v>5826</v>
      </c>
      <c r="G458" s="5">
        <v>112</v>
      </c>
      <c r="H458" t="str">
        <f t="shared" si="36"/>
        <v>Valid</v>
      </c>
      <c r="I458" t="str">
        <f t="shared" si="37"/>
        <v>Valid</v>
      </c>
      <c r="J458" s="5">
        <f t="shared" si="38"/>
        <v>5714</v>
      </c>
      <c r="K458" s="5">
        <f t="shared" si="39"/>
        <v>6098</v>
      </c>
      <c r="L458" s="5">
        <f>IF(Table1[[#This Row],[Total_System_Load]]&gt;80%*AVERAGE(Table1[Total_System_Load]),Table1[[#This Row],[Total_System_Load]]-Table1[[#This Row],[Total_Children_Under_Care]],0)</f>
        <v>384</v>
      </c>
      <c r="M458" s="5">
        <f t="shared" si="35"/>
        <v>102</v>
      </c>
      <c r="N458" s="5">
        <f>M459-Table1[[#This Row],[Net_Daily_Intake]]</f>
        <v>-89</v>
      </c>
      <c r="O458" s="5">
        <f>M459-Table1[[#This Row],[Net_Daily_Intake]]/Table1[[#This Row],[Net_Daily_Intake]]</f>
        <v>12</v>
      </c>
      <c r="P458" t="str">
        <f>IF(Table1[[#This Row],[Change_in_Net_Daily_Intake]]&gt;0,"Sustained Positive","Negative")</f>
        <v>Negative</v>
      </c>
      <c r="Q458" s="1">
        <f>(Table1[[#This Row],[Total_System_Load]]-Table1[[#This Row],[Total_Children_Under_Care]])/Table1[[#This Row],[Total_Children_Under_Care]]*100</f>
        <v>6.7203360168008404</v>
      </c>
      <c r="R458" s="1">
        <f>(Table1[[#This Row],[Children_discharged _from_HHS_ Care]]/Table1[[#This Row],[Children_transferred_out_of_CBP_custody]])</f>
        <v>0.52336448598130836</v>
      </c>
    </row>
    <row r="459" spans="1:18" x14ac:dyDescent="0.3">
      <c r="A459">
        <v>458</v>
      </c>
      <c r="B459" s="7">
        <v>45623</v>
      </c>
      <c r="C459" s="5">
        <v>239</v>
      </c>
      <c r="D459" s="5">
        <v>367</v>
      </c>
      <c r="E459" s="5">
        <v>224</v>
      </c>
      <c r="F459" s="5">
        <v>5862</v>
      </c>
      <c r="G459" s="5">
        <v>211</v>
      </c>
      <c r="H459" t="str">
        <f t="shared" si="36"/>
        <v>Valid</v>
      </c>
      <c r="I459" t="str">
        <f t="shared" si="37"/>
        <v>Valid</v>
      </c>
      <c r="J459" s="5">
        <f t="shared" si="38"/>
        <v>5651</v>
      </c>
      <c r="K459" s="5">
        <f t="shared" si="39"/>
        <v>6229</v>
      </c>
      <c r="L459" s="5">
        <f>IF(Table1[[#This Row],[Total_System_Load]]&gt;80%*AVERAGE(Table1[Total_System_Load]),Table1[[#This Row],[Total_System_Load]]-Table1[[#This Row],[Total_Children_Under_Care]],0)</f>
        <v>578</v>
      </c>
      <c r="M459" s="5">
        <f t="shared" si="35"/>
        <v>13</v>
      </c>
      <c r="N459" s="5">
        <f>M460-Table1[[#This Row],[Net_Daily_Intake]]</f>
        <v>81</v>
      </c>
      <c r="O459" s="5">
        <f>M460-Table1[[#This Row],[Net_Daily_Intake]]/Table1[[#This Row],[Net_Daily_Intake]]</f>
        <v>93</v>
      </c>
      <c r="P459" t="str">
        <f>IF(Table1[[#This Row],[Change_in_Net_Daily_Intake]]&gt;0,"Sustained Positive","Negative")</f>
        <v>Sustained Positive</v>
      </c>
      <c r="Q459" s="1">
        <f>(Table1[[#This Row],[Total_System_Load]]-Table1[[#This Row],[Total_Children_Under_Care]])/Table1[[#This Row],[Total_Children_Under_Care]]*100</f>
        <v>10.228278180852946</v>
      </c>
      <c r="R459" s="1">
        <f>(Table1[[#This Row],[Children_discharged _from_HHS_ Care]]/Table1[[#This Row],[Children_transferred_out_of_CBP_custody]])</f>
        <v>0.9419642857142857</v>
      </c>
    </row>
    <row r="460" spans="1:18" x14ac:dyDescent="0.3">
      <c r="A460">
        <v>459</v>
      </c>
      <c r="B460" s="7">
        <v>45624</v>
      </c>
      <c r="C460" s="5">
        <v>113</v>
      </c>
      <c r="D460" s="5">
        <v>280</v>
      </c>
      <c r="E460" s="5">
        <v>237</v>
      </c>
      <c r="F460" s="5">
        <v>5963</v>
      </c>
      <c r="G460" s="5">
        <v>143</v>
      </c>
      <c r="H460" t="str">
        <f t="shared" si="36"/>
        <v>Valid</v>
      </c>
      <c r="I460" t="str">
        <f t="shared" si="37"/>
        <v>Valid</v>
      </c>
      <c r="J460" s="5">
        <f t="shared" si="38"/>
        <v>5820</v>
      </c>
      <c r="K460" s="5">
        <f t="shared" si="39"/>
        <v>6243</v>
      </c>
      <c r="L460" s="5">
        <f>IF(Table1[[#This Row],[Total_System_Load]]&gt;80%*AVERAGE(Table1[Total_System_Load]),Table1[[#This Row],[Total_System_Load]]-Table1[[#This Row],[Total_Children_Under_Care]],0)</f>
        <v>423</v>
      </c>
      <c r="M460" s="5">
        <f t="shared" si="35"/>
        <v>94</v>
      </c>
      <c r="N460" s="5">
        <f>M461-Table1[[#This Row],[Net_Daily_Intake]]</f>
        <v>-56</v>
      </c>
      <c r="O460" s="5">
        <f>M461-Table1[[#This Row],[Net_Daily_Intake]]/Table1[[#This Row],[Net_Daily_Intake]]</f>
        <v>37</v>
      </c>
      <c r="P460" t="str">
        <f>IF(Table1[[#This Row],[Change_in_Net_Daily_Intake]]&gt;0,"Sustained Positive","Negative")</f>
        <v>Negative</v>
      </c>
      <c r="Q460" s="1">
        <f>(Table1[[#This Row],[Total_System_Load]]-Table1[[#This Row],[Total_Children_Under_Care]])/Table1[[#This Row],[Total_Children_Under_Care]]*100</f>
        <v>7.2680412371134029</v>
      </c>
      <c r="R460" s="1">
        <f>(Table1[[#This Row],[Children_discharged _from_HHS_ Care]]/Table1[[#This Row],[Children_transferred_out_of_CBP_custody]])</f>
        <v>0.6033755274261603</v>
      </c>
    </row>
    <row r="461" spans="1:18" x14ac:dyDescent="0.3">
      <c r="A461">
        <v>460</v>
      </c>
      <c r="B461" s="7">
        <v>45627</v>
      </c>
      <c r="C461" s="5">
        <v>196</v>
      </c>
      <c r="D461" s="5">
        <v>306</v>
      </c>
      <c r="E461" s="5">
        <v>187</v>
      </c>
      <c r="F461" s="5">
        <v>5986</v>
      </c>
      <c r="G461" s="5">
        <v>149</v>
      </c>
      <c r="H461" t="str">
        <f t="shared" si="36"/>
        <v>Valid</v>
      </c>
      <c r="I461" t="str">
        <f t="shared" si="37"/>
        <v>Valid</v>
      </c>
      <c r="J461" s="5">
        <f t="shared" si="38"/>
        <v>5837</v>
      </c>
      <c r="K461" s="5">
        <f t="shared" si="39"/>
        <v>6292</v>
      </c>
      <c r="L461" s="5">
        <f>IF(Table1[[#This Row],[Total_System_Load]]&gt;80%*AVERAGE(Table1[Total_System_Load]),Table1[[#This Row],[Total_System_Load]]-Table1[[#This Row],[Total_Children_Under_Care]],0)</f>
        <v>455</v>
      </c>
      <c r="M461" s="5">
        <f t="shared" si="35"/>
        <v>38</v>
      </c>
      <c r="N461" s="5">
        <f>M462-Table1[[#This Row],[Net_Daily_Intake]]</f>
        <v>69</v>
      </c>
      <c r="O461" s="5">
        <f>M462-Table1[[#This Row],[Net_Daily_Intake]]/Table1[[#This Row],[Net_Daily_Intake]]</f>
        <v>106</v>
      </c>
      <c r="P461" t="str">
        <f>IF(Table1[[#This Row],[Change_in_Net_Daily_Intake]]&gt;0,"Sustained Positive","Negative")</f>
        <v>Sustained Positive</v>
      </c>
      <c r="Q461" s="1">
        <f>(Table1[[#This Row],[Total_System_Load]]-Table1[[#This Row],[Total_Children_Under_Care]])/Table1[[#This Row],[Total_Children_Under_Care]]*100</f>
        <v>7.7951002227171493</v>
      </c>
      <c r="R461" s="1">
        <f>(Table1[[#This Row],[Children_discharged _from_HHS_ Care]]/Table1[[#This Row],[Children_transferred_out_of_CBP_custody]])</f>
        <v>0.79679144385026734</v>
      </c>
    </row>
    <row r="462" spans="1:18" x14ac:dyDescent="0.3">
      <c r="A462">
        <v>461</v>
      </c>
      <c r="B462" s="7">
        <v>45628</v>
      </c>
      <c r="C462" s="5">
        <v>236</v>
      </c>
      <c r="D462" s="5">
        <v>330</v>
      </c>
      <c r="E462" s="5">
        <v>222</v>
      </c>
      <c r="F462" s="5">
        <v>6061</v>
      </c>
      <c r="G462" s="5">
        <v>115</v>
      </c>
      <c r="H462" t="str">
        <f t="shared" si="36"/>
        <v>Valid</v>
      </c>
      <c r="I462" t="str">
        <f t="shared" si="37"/>
        <v>Valid</v>
      </c>
      <c r="J462" s="5">
        <f t="shared" si="38"/>
        <v>5946</v>
      </c>
      <c r="K462" s="5">
        <f t="shared" si="39"/>
        <v>6391</v>
      </c>
      <c r="L462" s="5">
        <f>IF(Table1[[#This Row],[Total_System_Load]]&gt;80%*AVERAGE(Table1[Total_System_Load]),Table1[[#This Row],[Total_System_Load]]-Table1[[#This Row],[Total_Children_Under_Care]],0)</f>
        <v>445</v>
      </c>
      <c r="M462" s="5">
        <f t="shared" si="35"/>
        <v>107</v>
      </c>
      <c r="N462" s="5">
        <f>M463-Table1[[#This Row],[Net_Daily_Intake]]</f>
        <v>28</v>
      </c>
      <c r="O462" s="5">
        <f>M463-Table1[[#This Row],[Net_Daily_Intake]]/Table1[[#This Row],[Net_Daily_Intake]]</f>
        <v>134</v>
      </c>
      <c r="P462" t="str">
        <f>IF(Table1[[#This Row],[Change_in_Net_Daily_Intake]]&gt;0,"Sustained Positive","Negative")</f>
        <v>Sustained Positive</v>
      </c>
      <c r="Q462" s="1">
        <f>(Table1[[#This Row],[Total_System_Load]]-Table1[[#This Row],[Total_Children_Under_Care]])/Table1[[#This Row],[Total_Children_Under_Care]]*100</f>
        <v>7.4840228725193416</v>
      </c>
      <c r="R462" s="1">
        <f>(Table1[[#This Row],[Children_discharged _from_HHS_ Care]]/Table1[[#This Row],[Children_transferred_out_of_CBP_custody]])</f>
        <v>0.51801801801801806</v>
      </c>
    </row>
    <row r="463" spans="1:18" x14ac:dyDescent="0.3">
      <c r="A463">
        <v>462</v>
      </c>
      <c r="B463" s="7">
        <v>45629</v>
      </c>
      <c r="C463" s="5">
        <v>81</v>
      </c>
      <c r="D463" s="5">
        <v>230</v>
      </c>
      <c r="E463" s="5">
        <v>242</v>
      </c>
      <c r="F463" s="5">
        <v>6192</v>
      </c>
      <c r="G463" s="5">
        <v>107</v>
      </c>
      <c r="H463" t="str">
        <f t="shared" si="36"/>
        <v>Invalid</v>
      </c>
      <c r="I463" t="str">
        <f t="shared" si="37"/>
        <v>Valid</v>
      </c>
      <c r="J463" s="5">
        <f t="shared" si="38"/>
        <v>6085</v>
      </c>
      <c r="K463" s="5">
        <f t="shared" si="39"/>
        <v>6422</v>
      </c>
      <c r="L463" s="5">
        <f>IF(Table1[[#This Row],[Total_System_Load]]&gt;80%*AVERAGE(Table1[Total_System_Load]),Table1[[#This Row],[Total_System_Load]]-Table1[[#This Row],[Total_Children_Under_Care]],0)</f>
        <v>337</v>
      </c>
      <c r="M463" s="5">
        <f t="shared" si="35"/>
        <v>135</v>
      </c>
      <c r="N463" s="5">
        <f>M464-Table1[[#This Row],[Net_Daily_Intake]]</f>
        <v>-90</v>
      </c>
      <c r="O463" s="5">
        <f>M464-Table1[[#This Row],[Net_Daily_Intake]]/Table1[[#This Row],[Net_Daily_Intake]]</f>
        <v>44</v>
      </c>
      <c r="P463" t="str">
        <f>IF(Table1[[#This Row],[Change_in_Net_Daily_Intake]]&gt;0,"Sustained Positive","Negative")</f>
        <v>Negative</v>
      </c>
      <c r="Q463" s="1">
        <f>(Table1[[#This Row],[Total_System_Load]]-Table1[[#This Row],[Total_Children_Under_Care]])/Table1[[#This Row],[Total_Children_Under_Care]]*100</f>
        <v>5.5382087099424808</v>
      </c>
      <c r="R463" s="1">
        <f>(Table1[[#This Row],[Children_discharged _from_HHS_ Care]]/Table1[[#This Row],[Children_transferred_out_of_CBP_custody]])</f>
        <v>0.44214876033057854</v>
      </c>
    </row>
    <row r="464" spans="1:18" x14ac:dyDescent="0.3">
      <c r="A464">
        <v>463</v>
      </c>
      <c r="B464" s="7">
        <v>45630</v>
      </c>
      <c r="C464" s="5">
        <v>118</v>
      </c>
      <c r="D464" s="5">
        <v>245</v>
      </c>
      <c r="E464" s="5">
        <v>160</v>
      </c>
      <c r="F464" s="5">
        <v>6269</v>
      </c>
      <c r="G464" s="5">
        <v>115</v>
      </c>
      <c r="H464" t="str">
        <f t="shared" si="36"/>
        <v>Valid</v>
      </c>
      <c r="I464" t="str">
        <f t="shared" si="37"/>
        <v>Valid</v>
      </c>
      <c r="J464" s="5">
        <f t="shared" si="38"/>
        <v>6154</v>
      </c>
      <c r="K464" s="5">
        <f t="shared" si="39"/>
        <v>6514</v>
      </c>
      <c r="L464" s="5">
        <f>IF(Table1[[#This Row],[Total_System_Load]]&gt;80%*AVERAGE(Table1[Total_System_Load]),Table1[[#This Row],[Total_System_Load]]-Table1[[#This Row],[Total_Children_Under_Care]],0)</f>
        <v>360</v>
      </c>
      <c r="M464" s="5">
        <f t="shared" si="35"/>
        <v>45</v>
      </c>
      <c r="N464" s="5">
        <f>M465-Table1[[#This Row],[Net_Daily_Intake]]</f>
        <v>13</v>
      </c>
      <c r="O464" s="5">
        <f>M465-Table1[[#This Row],[Net_Daily_Intake]]/Table1[[#This Row],[Net_Daily_Intake]]</f>
        <v>57</v>
      </c>
      <c r="P464" t="str">
        <f>IF(Table1[[#This Row],[Change_in_Net_Daily_Intake]]&gt;0,"Sustained Positive","Negative")</f>
        <v>Sustained Positive</v>
      </c>
      <c r="Q464" s="1">
        <f>(Table1[[#This Row],[Total_System_Load]]-Table1[[#This Row],[Total_Children_Under_Care]])/Table1[[#This Row],[Total_Children_Under_Care]]*100</f>
        <v>5.8498537536561583</v>
      </c>
      <c r="R464" s="1">
        <f>(Table1[[#This Row],[Children_discharged _from_HHS_ Care]]/Table1[[#This Row],[Children_transferred_out_of_CBP_custody]])</f>
        <v>0.71875</v>
      </c>
    </row>
    <row r="465" spans="1:18" x14ac:dyDescent="0.3">
      <c r="A465">
        <v>464</v>
      </c>
      <c r="B465" s="7">
        <v>45631</v>
      </c>
      <c r="C465" s="5">
        <v>218</v>
      </c>
      <c r="D465" s="5">
        <v>283</v>
      </c>
      <c r="E465" s="5">
        <v>208</v>
      </c>
      <c r="F465" s="5">
        <v>6310</v>
      </c>
      <c r="G465" s="5">
        <v>150</v>
      </c>
      <c r="H465" t="str">
        <f t="shared" si="36"/>
        <v>Valid</v>
      </c>
      <c r="I465" t="str">
        <f t="shared" si="37"/>
        <v>Valid</v>
      </c>
      <c r="J465" s="5">
        <f t="shared" si="38"/>
        <v>6160</v>
      </c>
      <c r="K465" s="5">
        <f t="shared" si="39"/>
        <v>6593</v>
      </c>
      <c r="L465" s="5">
        <f>IF(Table1[[#This Row],[Total_System_Load]]&gt;80%*AVERAGE(Table1[Total_System_Load]),Table1[[#This Row],[Total_System_Load]]-Table1[[#This Row],[Total_Children_Under_Care]],0)</f>
        <v>433</v>
      </c>
      <c r="M465" s="5">
        <f t="shared" si="35"/>
        <v>58</v>
      </c>
      <c r="N465" s="5">
        <f>M466-Table1[[#This Row],[Net_Daily_Intake]]</f>
        <v>-47</v>
      </c>
      <c r="O465" s="5">
        <f>M466-Table1[[#This Row],[Net_Daily_Intake]]/Table1[[#This Row],[Net_Daily_Intake]]</f>
        <v>10</v>
      </c>
      <c r="P465" t="str">
        <f>IF(Table1[[#This Row],[Change_in_Net_Daily_Intake]]&gt;0,"Sustained Positive","Negative")</f>
        <v>Negative</v>
      </c>
      <c r="Q465" s="1">
        <f>(Table1[[#This Row],[Total_System_Load]]-Table1[[#This Row],[Total_Children_Under_Care]])/Table1[[#This Row],[Total_Children_Under_Care]]*100</f>
        <v>7.029220779220779</v>
      </c>
      <c r="R465" s="1">
        <f>(Table1[[#This Row],[Children_discharged _from_HHS_ Care]]/Table1[[#This Row],[Children_transferred_out_of_CBP_custody]])</f>
        <v>0.72115384615384615</v>
      </c>
    </row>
    <row r="466" spans="1:18" x14ac:dyDescent="0.3">
      <c r="A466">
        <v>465</v>
      </c>
      <c r="B466" s="7">
        <v>45634</v>
      </c>
      <c r="C466" s="5">
        <v>132</v>
      </c>
      <c r="D466" s="5">
        <v>243</v>
      </c>
      <c r="E466" s="5">
        <v>183</v>
      </c>
      <c r="F466" s="5">
        <v>6286</v>
      </c>
      <c r="G466" s="5">
        <v>172</v>
      </c>
      <c r="H466" t="str">
        <f t="shared" si="36"/>
        <v>Valid</v>
      </c>
      <c r="I466" t="str">
        <f t="shared" si="37"/>
        <v>Valid</v>
      </c>
      <c r="J466" s="5">
        <f t="shared" si="38"/>
        <v>6114</v>
      </c>
      <c r="K466" s="5">
        <f t="shared" si="39"/>
        <v>6529</v>
      </c>
      <c r="L466" s="5">
        <f>IF(Table1[[#This Row],[Total_System_Load]]&gt;80%*AVERAGE(Table1[Total_System_Load]),Table1[[#This Row],[Total_System_Load]]-Table1[[#This Row],[Total_Children_Under_Care]],0)</f>
        <v>415</v>
      </c>
      <c r="M466" s="5">
        <f t="shared" si="35"/>
        <v>11</v>
      </c>
      <c r="N466" s="5">
        <f>M467-Table1[[#This Row],[Net_Daily_Intake]]</f>
        <v>-33</v>
      </c>
      <c r="O466" s="5">
        <f>M467-Table1[[#This Row],[Net_Daily_Intake]]/Table1[[#This Row],[Net_Daily_Intake]]</f>
        <v>-23</v>
      </c>
      <c r="P466" t="str">
        <f>IF(Table1[[#This Row],[Change_in_Net_Daily_Intake]]&gt;0,"Sustained Positive","Negative")</f>
        <v>Negative</v>
      </c>
      <c r="Q466" s="1">
        <f>(Table1[[#This Row],[Total_System_Load]]-Table1[[#This Row],[Total_Children_Under_Care]])/Table1[[#This Row],[Total_Children_Under_Care]]*100</f>
        <v>6.7877003598298984</v>
      </c>
      <c r="R466" s="1">
        <f>(Table1[[#This Row],[Children_discharged _from_HHS_ Care]]/Table1[[#This Row],[Children_transferred_out_of_CBP_custody]])</f>
        <v>0.93989071038251371</v>
      </c>
    </row>
    <row r="467" spans="1:18" x14ac:dyDescent="0.3">
      <c r="A467">
        <v>466</v>
      </c>
      <c r="B467" s="7">
        <v>45635</v>
      </c>
      <c r="C467" s="5">
        <v>224</v>
      </c>
      <c r="D467" s="5">
        <v>315</v>
      </c>
      <c r="E467" s="5">
        <v>152</v>
      </c>
      <c r="F467" s="5">
        <v>6268</v>
      </c>
      <c r="G467" s="5">
        <v>174</v>
      </c>
      <c r="H467" t="str">
        <f t="shared" si="36"/>
        <v>Valid</v>
      </c>
      <c r="I467" t="str">
        <f t="shared" si="37"/>
        <v>Valid</v>
      </c>
      <c r="J467" s="5">
        <f t="shared" si="38"/>
        <v>6094</v>
      </c>
      <c r="K467" s="5">
        <f t="shared" si="39"/>
        <v>6583</v>
      </c>
      <c r="L467" s="5">
        <f>IF(Table1[[#This Row],[Total_System_Load]]&gt;80%*AVERAGE(Table1[Total_System_Load]),Table1[[#This Row],[Total_System_Load]]-Table1[[#This Row],[Total_Children_Under_Care]],0)</f>
        <v>489</v>
      </c>
      <c r="M467" s="5">
        <f t="shared" si="35"/>
        <v>-22</v>
      </c>
      <c r="N467" s="5">
        <f>M468-Table1[[#This Row],[Net_Daily_Intake]]</f>
        <v>86</v>
      </c>
      <c r="O467" s="5">
        <f>M468-Table1[[#This Row],[Net_Daily_Intake]]/Table1[[#This Row],[Net_Daily_Intake]]</f>
        <v>63</v>
      </c>
      <c r="P467" t="str">
        <f>IF(Table1[[#This Row],[Change_in_Net_Daily_Intake]]&gt;0,"Sustained Positive","Negative")</f>
        <v>Sustained Positive</v>
      </c>
      <c r="Q467" s="1">
        <f>(Table1[[#This Row],[Total_System_Load]]-Table1[[#This Row],[Total_Children_Under_Care]])/Table1[[#This Row],[Total_Children_Under_Care]]*100</f>
        <v>8.0242861831309487</v>
      </c>
      <c r="R467" s="1">
        <f>(Table1[[#This Row],[Children_discharged _from_HHS_ Care]]/Table1[[#This Row],[Children_transferred_out_of_CBP_custody]])</f>
        <v>1.1447368421052631</v>
      </c>
    </row>
    <row r="468" spans="1:18" x14ac:dyDescent="0.3">
      <c r="A468">
        <v>467</v>
      </c>
      <c r="B468" s="7">
        <v>45636</v>
      </c>
      <c r="C468" s="5">
        <v>167</v>
      </c>
      <c r="D468" s="5">
        <v>326</v>
      </c>
      <c r="E468" s="5">
        <v>213</v>
      </c>
      <c r="F468" s="5">
        <v>6310</v>
      </c>
      <c r="G468" s="5">
        <v>149</v>
      </c>
      <c r="H468" t="str">
        <f t="shared" si="36"/>
        <v>Valid</v>
      </c>
      <c r="I468" t="str">
        <f t="shared" si="37"/>
        <v>Valid</v>
      </c>
      <c r="J468" s="5">
        <f t="shared" si="38"/>
        <v>6161</v>
      </c>
      <c r="K468" s="5">
        <f t="shared" si="39"/>
        <v>6636</v>
      </c>
      <c r="L468" s="5">
        <f>IF(Table1[[#This Row],[Total_System_Load]]&gt;80%*AVERAGE(Table1[Total_System_Load]),Table1[[#This Row],[Total_System_Load]]-Table1[[#This Row],[Total_Children_Under_Care]],0)</f>
        <v>475</v>
      </c>
      <c r="M468" s="5">
        <f t="shared" si="35"/>
        <v>64</v>
      </c>
      <c r="N468" s="5">
        <f>M469-Table1[[#This Row],[Net_Daily_Intake]]</f>
        <v>16</v>
      </c>
      <c r="O468" s="5">
        <f>M469-Table1[[#This Row],[Net_Daily_Intake]]/Table1[[#This Row],[Net_Daily_Intake]]</f>
        <v>79</v>
      </c>
      <c r="P468" t="str">
        <f>IF(Table1[[#This Row],[Change_in_Net_Daily_Intake]]&gt;0,"Sustained Positive","Negative")</f>
        <v>Sustained Positive</v>
      </c>
      <c r="Q468" s="1">
        <f>(Table1[[#This Row],[Total_System_Load]]-Table1[[#This Row],[Total_Children_Under_Care]])/Table1[[#This Row],[Total_Children_Under_Care]]*100</f>
        <v>7.7097873721798411</v>
      </c>
      <c r="R468" s="1">
        <f>(Table1[[#This Row],[Children_discharged _from_HHS_ Care]]/Table1[[#This Row],[Children_transferred_out_of_CBP_custody]])</f>
        <v>0.69953051643192488</v>
      </c>
    </row>
    <row r="469" spans="1:18" x14ac:dyDescent="0.3">
      <c r="A469">
        <v>468</v>
      </c>
      <c r="B469" s="7">
        <v>45637</v>
      </c>
      <c r="C469" s="5">
        <v>209</v>
      </c>
      <c r="D469" s="5">
        <v>353</v>
      </c>
      <c r="E469" s="5">
        <v>232</v>
      </c>
      <c r="F469" s="5">
        <v>6402</v>
      </c>
      <c r="G469" s="5">
        <v>152</v>
      </c>
      <c r="H469" t="str">
        <f t="shared" si="36"/>
        <v>Valid</v>
      </c>
      <c r="I469" t="str">
        <f t="shared" si="37"/>
        <v>Valid</v>
      </c>
      <c r="J469" s="5">
        <f t="shared" si="38"/>
        <v>6250</v>
      </c>
      <c r="K469" s="5">
        <f t="shared" si="39"/>
        <v>6755</v>
      </c>
      <c r="L469" s="5">
        <f>IF(Table1[[#This Row],[Total_System_Load]]&gt;80%*AVERAGE(Table1[Total_System_Load]),Table1[[#This Row],[Total_System_Load]]-Table1[[#This Row],[Total_Children_Under_Care]],0)</f>
        <v>505</v>
      </c>
      <c r="M469" s="5">
        <f t="shared" si="35"/>
        <v>80</v>
      </c>
      <c r="N469" s="5">
        <f>M470-Table1[[#This Row],[Net_Daily_Intake]]</f>
        <v>12</v>
      </c>
      <c r="O469" s="5">
        <f>M470-Table1[[#This Row],[Net_Daily_Intake]]/Table1[[#This Row],[Net_Daily_Intake]]</f>
        <v>91</v>
      </c>
      <c r="P469" t="str">
        <f>IF(Table1[[#This Row],[Change_in_Net_Daily_Intake]]&gt;0,"Sustained Positive","Negative")</f>
        <v>Sustained Positive</v>
      </c>
      <c r="Q469" s="1">
        <f>(Table1[[#This Row],[Total_System_Load]]-Table1[[#This Row],[Total_Children_Under_Care]])/Table1[[#This Row],[Total_Children_Under_Care]]*100</f>
        <v>8.08</v>
      </c>
      <c r="R469" s="1">
        <f>(Table1[[#This Row],[Children_discharged _from_HHS_ Care]]/Table1[[#This Row],[Children_transferred_out_of_CBP_custody]])</f>
        <v>0.65517241379310343</v>
      </c>
    </row>
    <row r="470" spans="1:18" x14ac:dyDescent="0.3">
      <c r="A470">
        <v>469</v>
      </c>
      <c r="B470" s="7">
        <v>45638</v>
      </c>
      <c r="C470" s="5">
        <v>153</v>
      </c>
      <c r="D470" s="5">
        <v>253</v>
      </c>
      <c r="E470" s="5">
        <v>286</v>
      </c>
      <c r="F470" s="5">
        <v>6481</v>
      </c>
      <c r="G470" s="5">
        <v>194</v>
      </c>
      <c r="H470" t="str">
        <f t="shared" si="36"/>
        <v>Invalid</v>
      </c>
      <c r="I470" t="str">
        <f t="shared" si="37"/>
        <v>Valid</v>
      </c>
      <c r="J470" s="5">
        <f t="shared" si="38"/>
        <v>6287</v>
      </c>
      <c r="K470" s="5">
        <f t="shared" si="39"/>
        <v>6734</v>
      </c>
      <c r="L470" s="5">
        <f>IF(Table1[[#This Row],[Total_System_Load]]&gt;80%*AVERAGE(Table1[Total_System_Load]),Table1[[#This Row],[Total_System_Load]]-Table1[[#This Row],[Total_Children_Under_Care]],0)</f>
        <v>447</v>
      </c>
      <c r="M470" s="5">
        <f t="shared" si="35"/>
        <v>92</v>
      </c>
      <c r="N470" s="5">
        <f>M471-Table1[[#This Row],[Net_Daily_Intake]]</f>
        <v>-97</v>
      </c>
      <c r="O470" s="5">
        <f>M471-Table1[[#This Row],[Net_Daily_Intake]]/Table1[[#This Row],[Net_Daily_Intake]]</f>
        <v>-6</v>
      </c>
      <c r="P470" t="str">
        <f>IF(Table1[[#This Row],[Change_in_Net_Daily_Intake]]&gt;0,"Sustained Positive","Negative")</f>
        <v>Negative</v>
      </c>
      <c r="Q470" s="1">
        <f>(Table1[[#This Row],[Total_System_Load]]-Table1[[#This Row],[Total_Children_Under_Care]])/Table1[[#This Row],[Total_Children_Under_Care]]*100</f>
        <v>7.1099093367265791</v>
      </c>
      <c r="R470" s="1">
        <f>(Table1[[#This Row],[Children_discharged _from_HHS_ Care]]/Table1[[#This Row],[Children_transferred_out_of_CBP_custody]])</f>
        <v>0.67832167832167833</v>
      </c>
    </row>
    <row r="471" spans="1:18" x14ac:dyDescent="0.3">
      <c r="A471">
        <v>470</v>
      </c>
      <c r="B471" s="7">
        <v>45641</v>
      </c>
      <c r="C471" s="5">
        <v>180</v>
      </c>
      <c r="D471" s="5">
        <v>337</v>
      </c>
      <c r="E471" s="5">
        <v>219</v>
      </c>
      <c r="F471" s="5">
        <v>6408</v>
      </c>
      <c r="G471" s="5">
        <v>224</v>
      </c>
      <c r="H471" t="str">
        <f t="shared" si="36"/>
        <v>Valid</v>
      </c>
      <c r="I471" t="str">
        <f t="shared" si="37"/>
        <v>Valid</v>
      </c>
      <c r="J471" s="5">
        <f t="shared" si="38"/>
        <v>6184</v>
      </c>
      <c r="K471" s="5">
        <f t="shared" si="39"/>
        <v>6745</v>
      </c>
      <c r="L471" s="5">
        <f>IF(Table1[[#This Row],[Total_System_Load]]&gt;80%*AVERAGE(Table1[Total_System_Load]),Table1[[#This Row],[Total_System_Load]]-Table1[[#This Row],[Total_Children_Under_Care]],0)</f>
        <v>561</v>
      </c>
      <c r="M471" s="5">
        <f t="shared" si="35"/>
        <v>-5</v>
      </c>
      <c r="N471" s="5">
        <f>M472-Table1[[#This Row],[Net_Daily_Intake]]</f>
        <v>45</v>
      </c>
      <c r="O471" s="5">
        <f>M472-Table1[[#This Row],[Net_Daily_Intake]]/Table1[[#This Row],[Net_Daily_Intake]]</f>
        <v>39</v>
      </c>
      <c r="P471" t="str">
        <f>IF(Table1[[#This Row],[Change_in_Net_Daily_Intake]]&gt;0,"Sustained Positive","Negative")</f>
        <v>Sustained Positive</v>
      </c>
      <c r="Q471" s="1">
        <f>(Table1[[#This Row],[Total_System_Load]]-Table1[[#This Row],[Total_Children_Under_Care]])/Table1[[#This Row],[Total_Children_Under_Care]]*100</f>
        <v>9.0717981888745154</v>
      </c>
      <c r="R471" s="1">
        <f>(Table1[[#This Row],[Children_discharged _from_HHS_ Care]]/Table1[[#This Row],[Children_transferred_out_of_CBP_custody]])</f>
        <v>1.0228310502283104</v>
      </c>
    </row>
    <row r="472" spans="1:18" x14ac:dyDescent="0.3">
      <c r="A472">
        <v>471</v>
      </c>
      <c r="B472" s="7">
        <v>45642</v>
      </c>
      <c r="C472" s="5">
        <v>133</v>
      </c>
      <c r="D472" s="5">
        <v>287</v>
      </c>
      <c r="E472" s="5">
        <v>189</v>
      </c>
      <c r="F472" s="5">
        <v>6454</v>
      </c>
      <c r="G472" s="5">
        <v>149</v>
      </c>
      <c r="H472" t="str">
        <f t="shared" si="36"/>
        <v>Valid</v>
      </c>
      <c r="I472" t="str">
        <f t="shared" si="37"/>
        <v>Valid</v>
      </c>
      <c r="J472" s="5">
        <f t="shared" si="38"/>
        <v>6305</v>
      </c>
      <c r="K472" s="5">
        <f t="shared" si="39"/>
        <v>6741</v>
      </c>
      <c r="L472" s="5">
        <f>IF(Table1[[#This Row],[Total_System_Load]]&gt;80%*AVERAGE(Table1[Total_System_Load]),Table1[[#This Row],[Total_System_Load]]-Table1[[#This Row],[Total_Children_Under_Care]],0)</f>
        <v>436</v>
      </c>
      <c r="M472" s="5">
        <f t="shared" si="35"/>
        <v>40</v>
      </c>
      <c r="N472" s="5">
        <f>M473-Table1[[#This Row],[Net_Daily_Intake]]</f>
        <v>56</v>
      </c>
      <c r="O472" s="5">
        <f>M473-Table1[[#This Row],[Net_Daily_Intake]]/Table1[[#This Row],[Net_Daily_Intake]]</f>
        <v>95</v>
      </c>
      <c r="P472" t="str">
        <f>IF(Table1[[#This Row],[Change_in_Net_Daily_Intake]]&gt;0,"Sustained Positive","Negative")</f>
        <v>Sustained Positive</v>
      </c>
      <c r="Q472" s="1">
        <f>(Table1[[#This Row],[Total_System_Load]]-Table1[[#This Row],[Total_Children_Under_Care]])/Table1[[#This Row],[Total_Children_Under_Care]]*100</f>
        <v>6.9151467089611423</v>
      </c>
      <c r="R472" s="1">
        <f>(Table1[[#This Row],[Children_discharged _from_HHS_ Care]]/Table1[[#This Row],[Children_transferred_out_of_CBP_custody]])</f>
        <v>0.78835978835978837</v>
      </c>
    </row>
    <row r="473" spans="1:18" x14ac:dyDescent="0.3">
      <c r="A473">
        <v>472</v>
      </c>
      <c r="B473" s="7">
        <v>45643</v>
      </c>
      <c r="C473" s="5">
        <v>187</v>
      </c>
      <c r="D473" s="5">
        <v>310</v>
      </c>
      <c r="E473" s="5">
        <v>247</v>
      </c>
      <c r="F473" s="5">
        <v>6506</v>
      </c>
      <c r="G473" s="5">
        <v>151</v>
      </c>
      <c r="H473" t="str">
        <f t="shared" si="36"/>
        <v>Valid</v>
      </c>
      <c r="I473" t="str">
        <f t="shared" si="37"/>
        <v>Valid</v>
      </c>
      <c r="J473" s="5">
        <f t="shared" si="38"/>
        <v>6355</v>
      </c>
      <c r="K473" s="5">
        <f t="shared" si="39"/>
        <v>6816</v>
      </c>
      <c r="L473" s="5">
        <f>IF(Table1[[#This Row],[Total_System_Load]]&gt;80%*AVERAGE(Table1[Total_System_Load]),Table1[[#This Row],[Total_System_Load]]-Table1[[#This Row],[Total_Children_Under_Care]],0)</f>
        <v>461</v>
      </c>
      <c r="M473" s="5">
        <f t="shared" si="35"/>
        <v>96</v>
      </c>
      <c r="N473" s="5">
        <f>M474-Table1[[#This Row],[Net_Daily_Intake]]</f>
        <v>-20</v>
      </c>
      <c r="O473" s="5">
        <f>M474-Table1[[#This Row],[Net_Daily_Intake]]/Table1[[#This Row],[Net_Daily_Intake]]</f>
        <v>75</v>
      </c>
      <c r="P473" t="str">
        <f>IF(Table1[[#This Row],[Change_in_Net_Daily_Intake]]&gt;0,"Sustained Positive","Negative")</f>
        <v>Negative</v>
      </c>
      <c r="Q473" s="1">
        <f>(Table1[[#This Row],[Total_System_Load]]-Table1[[#This Row],[Total_Children_Under_Care]])/Table1[[#This Row],[Total_Children_Under_Care]]*100</f>
        <v>7.2541306058221871</v>
      </c>
      <c r="R473" s="1">
        <f>(Table1[[#This Row],[Children_discharged _from_HHS_ Care]]/Table1[[#This Row],[Children_transferred_out_of_CBP_custody]])</f>
        <v>0.61133603238866396</v>
      </c>
    </row>
    <row r="474" spans="1:18" x14ac:dyDescent="0.3">
      <c r="A474">
        <v>473</v>
      </c>
      <c r="B474" s="7">
        <v>45644</v>
      </c>
      <c r="C474" s="5">
        <v>168</v>
      </c>
      <c r="D474" s="5">
        <v>285</v>
      </c>
      <c r="E474" s="5">
        <v>210</v>
      </c>
      <c r="F474" s="5">
        <v>6598</v>
      </c>
      <c r="G474" s="5">
        <v>134</v>
      </c>
      <c r="H474" t="str">
        <f t="shared" si="36"/>
        <v>Valid</v>
      </c>
      <c r="I474" t="str">
        <f t="shared" si="37"/>
        <v>Valid</v>
      </c>
      <c r="J474" s="5">
        <f t="shared" si="38"/>
        <v>6464</v>
      </c>
      <c r="K474" s="5">
        <f t="shared" si="39"/>
        <v>6883</v>
      </c>
      <c r="L474" s="5">
        <f>IF(Table1[[#This Row],[Total_System_Load]]&gt;80%*AVERAGE(Table1[Total_System_Load]),Table1[[#This Row],[Total_System_Load]]-Table1[[#This Row],[Total_Children_Under_Care]],0)</f>
        <v>419</v>
      </c>
      <c r="M474" s="5">
        <f t="shared" si="35"/>
        <v>76</v>
      </c>
      <c r="N474" s="5">
        <f>M475-Table1[[#This Row],[Net_Daily_Intake]]</f>
        <v>-110</v>
      </c>
      <c r="O474" s="5">
        <f>M475-Table1[[#This Row],[Net_Daily_Intake]]/Table1[[#This Row],[Net_Daily_Intake]]</f>
        <v>-35</v>
      </c>
      <c r="P474" t="str">
        <f>IF(Table1[[#This Row],[Change_in_Net_Daily_Intake]]&gt;0,"Sustained Positive","Negative")</f>
        <v>Negative</v>
      </c>
      <c r="Q474" s="1">
        <f>(Table1[[#This Row],[Total_System_Load]]-Table1[[#This Row],[Total_Children_Under_Care]])/Table1[[#This Row],[Total_Children_Under_Care]]*100</f>
        <v>6.482054455445545</v>
      </c>
      <c r="R474" s="1">
        <f>(Table1[[#This Row],[Children_discharged _from_HHS_ Care]]/Table1[[#This Row],[Children_transferred_out_of_CBP_custody]])</f>
        <v>0.63809523809523805</v>
      </c>
    </row>
    <row r="475" spans="1:18" x14ac:dyDescent="0.3">
      <c r="A475">
        <v>474</v>
      </c>
      <c r="B475" s="7">
        <v>45645</v>
      </c>
      <c r="C475" s="5">
        <v>269</v>
      </c>
      <c r="D475" s="5">
        <v>412</v>
      </c>
      <c r="E475" s="5">
        <v>204</v>
      </c>
      <c r="F475" s="5">
        <v>6600</v>
      </c>
      <c r="G475" s="5">
        <v>238</v>
      </c>
      <c r="H475" t="str">
        <f t="shared" si="36"/>
        <v>Valid</v>
      </c>
      <c r="I475" t="str">
        <f t="shared" si="37"/>
        <v>Valid</v>
      </c>
      <c r="J475" s="5">
        <f t="shared" si="38"/>
        <v>6362</v>
      </c>
      <c r="K475" s="5">
        <f t="shared" si="39"/>
        <v>7012</v>
      </c>
      <c r="L475" s="5">
        <f>IF(Table1[[#This Row],[Total_System_Load]]&gt;80%*AVERAGE(Table1[Total_System_Load]),Table1[[#This Row],[Total_System_Load]]-Table1[[#This Row],[Total_Children_Under_Care]],0)</f>
        <v>650</v>
      </c>
      <c r="M475" s="5">
        <f t="shared" si="35"/>
        <v>-34</v>
      </c>
      <c r="N475" s="5">
        <f>M476-Table1[[#This Row],[Net_Daily_Intake]]</f>
        <v>2</v>
      </c>
      <c r="O475" s="5">
        <f>M476-Table1[[#This Row],[Net_Daily_Intake]]/Table1[[#This Row],[Net_Daily_Intake]]</f>
        <v>-33</v>
      </c>
      <c r="P475" t="str">
        <f>IF(Table1[[#This Row],[Change_in_Net_Daily_Intake]]&gt;0,"Sustained Positive","Negative")</f>
        <v>Sustained Positive</v>
      </c>
      <c r="Q475" s="1">
        <f>(Table1[[#This Row],[Total_System_Load]]-Table1[[#This Row],[Total_Children_Under_Care]])/Table1[[#This Row],[Total_Children_Under_Care]]*100</f>
        <v>10.216912920465262</v>
      </c>
      <c r="R475" s="1">
        <f>(Table1[[#This Row],[Children_discharged _from_HHS_ Care]]/Table1[[#This Row],[Children_transferred_out_of_CBP_custody]])</f>
        <v>1.1666666666666667</v>
      </c>
    </row>
    <row r="476" spans="1:18" x14ac:dyDescent="0.3">
      <c r="A476">
        <v>475</v>
      </c>
      <c r="B476" s="7">
        <v>45648</v>
      </c>
      <c r="C476" s="5">
        <v>100</v>
      </c>
      <c r="D476" s="5">
        <v>255</v>
      </c>
      <c r="E476" s="5">
        <v>236</v>
      </c>
      <c r="F476" s="5">
        <v>6595</v>
      </c>
      <c r="G476" s="5">
        <v>268</v>
      </c>
      <c r="H476" t="str">
        <f t="shared" si="36"/>
        <v>Valid</v>
      </c>
      <c r="I476" t="str">
        <f t="shared" si="37"/>
        <v>Valid</v>
      </c>
      <c r="J476" s="5">
        <f t="shared" si="38"/>
        <v>6327</v>
      </c>
      <c r="K476" s="5">
        <f t="shared" si="39"/>
        <v>6850</v>
      </c>
      <c r="L476" s="5">
        <f>IF(Table1[[#This Row],[Total_System_Load]]&gt;80%*AVERAGE(Table1[Total_System_Load]),Table1[[#This Row],[Total_System_Load]]-Table1[[#This Row],[Total_Children_Under_Care]],0)</f>
        <v>523</v>
      </c>
      <c r="M476" s="5">
        <f t="shared" si="35"/>
        <v>-32</v>
      </c>
      <c r="N476" s="5">
        <f>M477-Table1[[#This Row],[Net_Daily_Intake]]</f>
        <v>-22</v>
      </c>
      <c r="O476" s="5">
        <f>M477-Table1[[#This Row],[Net_Daily_Intake]]/Table1[[#This Row],[Net_Daily_Intake]]</f>
        <v>-55</v>
      </c>
      <c r="P476" t="str">
        <f>IF(Table1[[#This Row],[Change_in_Net_Daily_Intake]]&gt;0,"Sustained Positive","Negative")</f>
        <v>Negative</v>
      </c>
      <c r="Q476" s="1">
        <f>(Table1[[#This Row],[Total_System_Load]]-Table1[[#This Row],[Total_Children_Under_Care]])/Table1[[#This Row],[Total_Children_Under_Care]]*100</f>
        <v>8.2661608977398444</v>
      </c>
      <c r="R476" s="1">
        <f>(Table1[[#This Row],[Children_discharged _from_HHS_ Care]]/Table1[[#This Row],[Children_transferred_out_of_CBP_custody]])</f>
        <v>1.1355932203389831</v>
      </c>
    </row>
    <row r="477" spans="1:18" x14ac:dyDescent="0.3">
      <c r="A477">
        <v>476</v>
      </c>
      <c r="B477" s="7">
        <v>45649</v>
      </c>
      <c r="C477" s="5">
        <v>205</v>
      </c>
      <c r="D477" s="5">
        <v>294</v>
      </c>
      <c r="E477" s="5">
        <v>177</v>
      </c>
      <c r="F477" s="5">
        <v>6548</v>
      </c>
      <c r="G477" s="5">
        <v>231</v>
      </c>
      <c r="H477" t="str">
        <f t="shared" si="36"/>
        <v>Valid</v>
      </c>
      <c r="I477" t="str">
        <f t="shared" si="37"/>
        <v>Valid</v>
      </c>
      <c r="J477" s="5">
        <f t="shared" si="38"/>
        <v>6317</v>
      </c>
      <c r="K477" s="5">
        <f t="shared" si="39"/>
        <v>6842</v>
      </c>
      <c r="L477" s="5">
        <f>IF(Table1[[#This Row],[Total_System_Load]]&gt;80%*AVERAGE(Table1[Total_System_Load]),Table1[[#This Row],[Total_System_Load]]-Table1[[#This Row],[Total_Children_Under_Care]],0)</f>
        <v>525</v>
      </c>
      <c r="M477" s="5">
        <f t="shared" si="35"/>
        <v>-54</v>
      </c>
      <c r="N477" s="5">
        <f>M478-Table1[[#This Row],[Net_Daily_Intake]]</f>
        <v>110</v>
      </c>
      <c r="O477" s="5">
        <f>M478-Table1[[#This Row],[Net_Daily_Intake]]/Table1[[#This Row],[Net_Daily_Intake]]</f>
        <v>55</v>
      </c>
      <c r="P477" t="str">
        <f>IF(Table1[[#This Row],[Change_in_Net_Daily_Intake]]&gt;0,"Sustained Positive","Negative")</f>
        <v>Sustained Positive</v>
      </c>
      <c r="Q477" s="1">
        <f>(Table1[[#This Row],[Total_System_Load]]-Table1[[#This Row],[Total_Children_Under_Care]])/Table1[[#This Row],[Total_Children_Under_Care]]*100</f>
        <v>8.3109070761437387</v>
      </c>
      <c r="R477" s="1">
        <f>(Table1[[#This Row],[Children_discharged _from_HHS_ Care]]/Table1[[#This Row],[Children_transferred_out_of_CBP_custody]])</f>
        <v>1.3050847457627119</v>
      </c>
    </row>
    <row r="478" spans="1:18" x14ac:dyDescent="0.3">
      <c r="A478">
        <v>477</v>
      </c>
      <c r="B478" s="7">
        <v>45650</v>
      </c>
      <c r="C478" s="5">
        <v>161</v>
      </c>
      <c r="D478" s="5">
        <v>304</v>
      </c>
      <c r="E478" s="5">
        <v>211</v>
      </c>
      <c r="F478" s="5">
        <v>6622</v>
      </c>
      <c r="G478" s="5">
        <v>155</v>
      </c>
      <c r="H478" t="str">
        <f t="shared" si="36"/>
        <v>Valid</v>
      </c>
      <c r="I478" t="str">
        <f t="shared" si="37"/>
        <v>Valid</v>
      </c>
      <c r="J478" s="5">
        <f t="shared" si="38"/>
        <v>6467</v>
      </c>
      <c r="K478" s="5">
        <f t="shared" si="39"/>
        <v>6926</v>
      </c>
      <c r="L478" s="5">
        <f>IF(Table1[[#This Row],[Total_System_Load]]&gt;80%*AVERAGE(Table1[Total_System_Load]),Table1[[#This Row],[Total_System_Load]]-Table1[[#This Row],[Total_Children_Under_Care]],0)</f>
        <v>459</v>
      </c>
      <c r="M478" s="5">
        <f t="shared" si="35"/>
        <v>56</v>
      </c>
      <c r="N478" s="5">
        <f>M479-Table1[[#This Row],[Net_Daily_Intake]]</f>
        <v>30</v>
      </c>
      <c r="O478" s="5">
        <f>M479-Table1[[#This Row],[Net_Daily_Intake]]/Table1[[#This Row],[Net_Daily_Intake]]</f>
        <v>85</v>
      </c>
      <c r="P478" t="str">
        <f>IF(Table1[[#This Row],[Change_in_Net_Daily_Intake]]&gt;0,"Sustained Positive","Negative")</f>
        <v>Sustained Positive</v>
      </c>
      <c r="Q478" s="1">
        <f>(Table1[[#This Row],[Total_System_Load]]-Table1[[#This Row],[Total_Children_Under_Care]])/Table1[[#This Row],[Total_Children_Under_Care]]*100</f>
        <v>7.0975722900881406</v>
      </c>
      <c r="R478" s="1">
        <f>(Table1[[#This Row],[Children_discharged _from_HHS_ Care]]/Table1[[#This Row],[Children_transferred_out_of_CBP_custody]])</f>
        <v>0.7345971563981043</v>
      </c>
    </row>
    <row r="479" spans="1:18" x14ac:dyDescent="0.3">
      <c r="A479">
        <v>478</v>
      </c>
      <c r="B479" s="7">
        <v>45651</v>
      </c>
      <c r="C479" s="5">
        <v>57</v>
      </c>
      <c r="D479" s="5">
        <v>162</v>
      </c>
      <c r="E479" s="5">
        <v>193</v>
      </c>
      <c r="F479" s="5">
        <v>6689</v>
      </c>
      <c r="G479" s="5">
        <v>107</v>
      </c>
      <c r="H479" t="str">
        <f t="shared" si="36"/>
        <v>Invalid</v>
      </c>
      <c r="I479" t="str">
        <f t="shared" si="37"/>
        <v>Valid</v>
      </c>
      <c r="J479" s="5">
        <f t="shared" si="38"/>
        <v>6582</v>
      </c>
      <c r="K479" s="5">
        <f t="shared" si="39"/>
        <v>6851</v>
      </c>
      <c r="L479" s="5">
        <f>IF(Table1[[#This Row],[Total_System_Load]]&gt;80%*AVERAGE(Table1[Total_System_Load]),Table1[[#This Row],[Total_System_Load]]-Table1[[#This Row],[Total_Children_Under_Care]],0)</f>
        <v>269</v>
      </c>
      <c r="M479" s="5">
        <f t="shared" si="35"/>
        <v>86</v>
      </c>
      <c r="N479" s="5">
        <f>M480-Table1[[#This Row],[Net_Daily_Intake]]</f>
        <v>-69</v>
      </c>
      <c r="O479" s="5">
        <f>M480-Table1[[#This Row],[Net_Daily_Intake]]/Table1[[#This Row],[Net_Daily_Intake]]</f>
        <v>16</v>
      </c>
      <c r="P479" t="str">
        <f>IF(Table1[[#This Row],[Change_in_Net_Daily_Intake]]&gt;0,"Sustained Positive","Negative")</f>
        <v>Negative</v>
      </c>
      <c r="Q479" s="1">
        <f>(Table1[[#This Row],[Total_System_Load]]-Table1[[#This Row],[Total_Children_Under_Care]])/Table1[[#This Row],[Total_Children_Under_Care]]*100</f>
        <v>4.0869036766940141</v>
      </c>
      <c r="R479" s="1">
        <f>(Table1[[#This Row],[Children_discharged _from_HHS_ Care]]/Table1[[#This Row],[Children_transferred_out_of_CBP_custody]])</f>
        <v>0.55440414507772018</v>
      </c>
    </row>
    <row r="480" spans="1:18" x14ac:dyDescent="0.3">
      <c r="A480">
        <v>479</v>
      </c>
      <c r="B480" s="7">
        <v>45652</v>
      </c>
      <c r="C480" s="5">
        <v>80</v>
      </c>
      <c r="D480" s="5">
        <v>122</v>
      </c>
      <c r="E480" s="5">
        <v>152</v>
      </c>
      <c r="F480" s="5">
        <v>6707</v>
      </c>
      <c r="G480" s="5">
        <v>135</v>
      </c>
      <c r="H480" t="str">
        <f t="shared" si="36"/>
        <v>Invalid</v>
      </c>
      <c r="I480" t="str">
        <f t="shared" si="37"/>
        <v>Valid</v>
      </c>
      <c r="J480" s="5">
        <f t="shared" si="38"/>
        <v>6572</v>
      </c>
      <c r="K480" s="5">
        <f t="shared" si="39"/>
        <v>6829</v>
      </c>
      <c r="L480" s="5">
        <f>IF(Table1[[#This Row],[Total_System_Load]]&gt;80%*AVERAGE(Table1[Total_System_Load]),Table1[[#This Row],[Total_System_Load]]-Table1[[#This Row],[Total_Children_Under_Care]],0)</f>
        <v>257</v>
      </c>
      <c r="M480" s="5">
        <f t="shared" si="35"/>
        <v>17</v>
      </c>
      <c r="N480" s="5">
        <f>M481-Table1[[#This Row],[Net_Daily_Intake]]</f>
        <v>-100</v>
      </c>
      <c r="O480" s="5">
        <f>M481-Table1[[#This Row],[Net_Daily_Intake]]/Table1[[#This Row],[Net_Daily_Intake]]</f>
        <v>-84</v>
      </c>
      <c r="P480" t="str">
        <f>IF(Table1[[#This Row],[Change_in_Net_Daily_Intake]]&gt;0,"Sustained Positive","Negative")</f>
        <v>Negative</v>
      </c>
      <c r="Q480" s="1">
        <f>(Table1[[#This Row],[Total_System_Load]]-Table1[[#This Row],[Total_Children_Under_Care]])/Table1[[#This Row],[Total_Children_Under_Care]]*100</f>
        <v>3.9105295191722456</v>
      </c>
      <c r="R480" s="1">
        <f>(Table1[[#This Row],[Children_discharged _from_HHS_ Care]]/Table1[[#This Row],[Children_transferred_out_of_CBP_custody]])</f>
        <v>0.88815789473684215</v>
      </c>
    </row>
    <row r="481" spans="1:18" x14ac:dyDescent="0.3">
      <c r="A481">
        <v>480</v>
      </c>
      <c r="B481" s="7">
        <v>45655</v>
      </c>
      <c r="C481" s="5">
        <v>107</v>
      </c>
      <c r="D481" s="5">
        <v>170</v>
      </c>
      <c r="E481" s="5">
        <v>133</v>
      </c>
      <c r="F481" s="5">
        <v>6465</v>
      </c>
      <c r="G481" s="5">
        <v>216</v>
      </c>
      <c r="H481" t="str">
        <f t="shared" si="36"/>
        <v>Valid</v>
      </c>
      <c r="I481" t="str">
        <f t="shared" si="37"/>
        <v>Valid</v>
      </c>
      <c r="J481" s="5">
        <f t="shared" si="38"/>
        <v>6249</v>
      </c>
      <c r="K481" s="5">
        <f t="shared" si="39"/>
        <v>6635</v>
      </c>
      <c r="L481" s="5">
        <f>IF(Table1[[#This Row],[Total_System_Load]]&gt;80%*AVERAGE(Table1[Total_System_Load]),Table1[[#This Row],[Total_System_Load]]-Table1[[#This Row],[Total_Children_Under_Care]],0)</f>
        <v>386</v>
      </c>
      <c r="M481" s="5">
        <f t="shared" si="35"/>
        <v>-83</v>
      </c>
      <c r="N481" s="5">
        <f>M482-Table1[[#This Row],[Net_Daily_Intake]]</f>
        <v>45</v>
      </c>
      <c r="O481" s="5">
        <f>M482-Table1[[#This Row],[Net_Daily_Intake]]/Table1[[#This Row],[Net_Daily_Intake]]</f>
        <v>-39</v>
      </c>
      <c r="P481" t="str">
        <f>IF(Table1[[#This Row],[Change_in_Net_Daily_Intake]]&gt;0,"Sustained Positive","Negative")</f>
        <v>Sustained Positive</v>
      </c>
      <c r="Q481" s="1">
        <f>(Table1[[#This Row],[Total_System_Load]]-Table1[[#This Row],[Total_Children_Under_Care]])/Table1[[#This Row],[Total_Children_Under_Care]]*100</f>
        <v>6.1769883181309009</v>
      </c>
      <c r="R481" s="1">
        <f>(Table1[[#This Row],[Children_discharged _from_HHS_ Care]]/Table1[[#This Row],[Children_transferred_out_of_CBP_custody]])</f>
        <v>1.6240601503759398</v>
      </c>
    </row>
    <row r="482" spans="1:18" x14ac:dyDescent="0.3">
      <c r="A482">
        <v>481</v>
      </c>
      <c r="B482" s="7">
        <v>45656</v>
      </c>
      <c r="C482" s="5">
        <v>99</v>
      </c>
      <c r="D482" s="5">
        <v>156</v>
      </c>
      <c r="E482" s="5">
        <v>139</v>
      </c>
      <c r="F482" s="5">
        <v>6454</v>
      </c>
      <c r="G482" s="5">
        <v>177</v>
      </c>
      <c r="H482" t="str">
        <f t="shared" si="36"/>
        <v>Valid</v>
      </c>
      <c r="I482" t="str">
        <f t="shared" si="37"/>
        <v>Valid</v>
      </c>
      <c r="J482" s="5">
        <f t="shared" si="38"/>
        <v>6277</v>
      </c>
      <c r="K482" s="5">
        <f t="shared" si="39"/>
        <v>6610</v>
      </c>
      <c r="L482" s="5">
        <f>IF(Table1[[#This Row],[Total_System_Load]]&gt;80%*AVERAGE(Table1[Total_System_Load]),Table1[[#This Row],[Total_System_Load]]-Table1[[#This Row],[Total_Children_Under_Care]],0)</f>
        <v>333</v>
      </c>
      <c r="M482" s="5">
        <f t="shared" si="35"/>
        <v>-38</v>
      </c>
      <c r="N482" s="5">
        <f>M483-Table1[[#This Row],[Net_Daily_Intake]]</f>
        <v>-12</v>
      </c>
      <c r="O482" s="5">
        <f>M483-Table1[[#This Row],[Net_Daily_Intake]]/Table1[[#This Row],[Net_Daily_Intake]]</f>
        <v>-51</v>
      </c>
      <c r="P482" t="str">
        <f>IF(Table1[[#This Row],[Change_in_Net_Daily_Intake]]&gt;0,"Sustained Positive","Negative")</f>
        <v>Negative</v>
      </c>
      <c r="Q482" s="1">
        <f>(Table1[[#This Row],[Total_System_Load]]-Table1[[#This Row],[Total_Children_Under_Care]])/Table1[[#This Row],[Total_Children_Under_Care]]*100</f>
        <v>5.3050820455631671</v>
      </c>
      <c r="R482" s="1">
        <f>(Table1[[#This Row],[Children_discharged _from_HHS_ Care]]/Table1[[#This Row],[Children_transferred_out_of_CBP_custody]])</f>
        <v>1.2733812949640289</v>
      </c>
    </row>
    <row r="483" spans="1:18" x14ac:dyDescent="0.3">
      <c r="A483">
        <v>482</v>
      </c>
      <c r="B483" s="7">
        <v>45658</v>
      </c>
      <c r="C483" s="5">
        <v>25</v>
      </c>
      <c r="D483" s="5">
        <v>66</v>
      </c>
      <c r="E483" s="5">
        <v>94</v>
      </c>
      <c r="F483" s="5">
        <v>6405</v>
      </c>
      <c r="G483" s="5">
        <v>144</v>
      </c>
      <c r="H483" t="str">
        <f t="shared" si="36"/>
        <v>Invalid</v>
      </c>
      <c r="I483" t="str">
        <f t="shared" si="37"/>
        <v>Valid</v>
      </c>
      <c r="J483" s="5">
        <f t="shared" si="38"/>
        <v>6261</v>
      </c>
      <c r="K483" s="5">
        <f t="shared" si="39"/>
        <v>6471</v>
      </c>
      <c r="L483" s="5">
        <f>IF(Table1[[#This Row],[Total_System_Load]]&gt;80%*AVERAGE(Table1[Total_System_Load]),Table1[[#This Row],[Total_System_Load]]-Table1[[#This Row],[Total_Children_Under_Care]],0)</f>
        <v>210</v>
      </c>
      <c r="M483" s="5">
        <f t="shared" si="35"/>
        <v>-50</v>
      </c>
      <c r="N483" s="5">
        <f>M484-Table1[[#This Row],[Net_Daily_Intake]]</f>
        <v>-67</v>
      </c>
      <c r="O483" s="5">
        <f>M484-Table1[[#This Row],[Net_Daily_Intake]]/Table1[[#This Row],[Net_Daily_Intake]]</f>
        <v>-118</v>
      </c>
      <c r="P483" t="str">
        <f>IF(Table1[[#This Row],[Change_in_Net_Daily_Intake]]&gt;0,"Sustained Positive","Negative")</f>
        <v>Negative</v>
      </c>
      <c r="Q483" s="1">
        <f>(Table1[[#This Row],[Total_System_Load]]-Table1[[#This Row],[Total_Children_Under_Care]])/Table1[[#This Row],[Total_Children_Under_Care]]*100</f>
        <v>3.3540967896502156</v>
      </c>
      <c r="R483" s="1">
        <f>(Table1[[#This Row],[Children_discharged _from_HHS_ Care]]/Table1[[#This Row],[Children_transferred_out_of_CBP_custody]])</f>
        <v>1.5319148936170213</v>
      </c>
    </row>
    <row r="484" spans="1:18" x14ac:dyDescent="0.3">
      <c r="A484">
        <v>483</v>
      </c>
      <c r="B484" s="7">
        <v>45659</v>
      </c>
      <c r="C484" s="5">
        <v>35</v>
      </c>
      <c r="D484" s="5">
        <v>70</v>
      </c>
      <c r="E484" s="5">
        <v>53</v>
      </c>
      <c r="F484" s="5">
        <v>6292</v>
      </c>
      <c r="G484" s="5">
        <v>170</v>
      </c>
      <c r="H484" t="str">
        <f t="shared" si="36"/>
        <v>Valid</v>
      </c>
      <c r="I484" t="str">
        <f t="shared" si="37"/>
        <v>Valid</v>
      </c>
      <c r="J484" s="5">
        <f t="shared" si="38"/>
        <v>6122</v>
      </c>
      <c r="K484" s="5">
        <f t="shared" si="39"/>
        <v>6362</v>
      </c>
      <c r="L484" s="5">
        <f>IF(Table1[[#This Row],[Total_System_Load]]&gt;80%*AVERAGE(Table1[Total_System_Load]),Table1[[#This Row],[Total_System_Load]]-Table1[[#This Row],[Total_Children_Under_Care]],0)</f>
        <v>240</v>
      </c>
      <c r="M484" s="5">
        <f t="shared" si="35"/>
        <v>-117</v>
      </c>
      <c r="N484" s="5">
        <f>M485-Table1[[#This Row],[Net_Daily_Intake]]</f>
        <v>-4</v>
      </c>
      <c r="O484" s="5">
        <f>M485-Table1[[#This Row],[Net_Daily_Intake]]/Table1[[#This Row],[Net_Daily_Intake]]</f>
        <v>-122</v>
      </c>
      <c r="P484" t="str">
        <f>IF(Table1[[#This Row],[Change_in_Net_Daily_Intake]]&gt;0,"Sustained Positive","Negative")</f>
        <v>Negative</v>
      </c>
      <c r="Q484" s="1">
        <f>(Table1[[#This Row],[Total_System_Load]]-Table1[[#This Row],[Total_Children_Under_Care]])/Table1[[#This Row],[Total_Children_Under_Care]]*100</f>
        <v>3.9202874877491016</v>
      </c>
      <c r="R484" s="1">
        <f>(Table1[[#This Row],[Children_discharged _from_HHS_ Care]]/Table1[[#This Row],[Children_transferred_out_of_CBP_custody]])</f>
        <v>3.2075471698113209</v>
      </c>
    </row>
    <row r="485" spans="1:18" x14ac:dyDescent="0.3">
      <c r="A485">
        <v>484</v>
      </c>
      <c r="B485" s="7">
        <v>45662</v>
      </c>
      <c r="C485" s="5">
        <v>43</v>
      </c>
      <c r="D485" s="5">
        <v>73</v>
      </c>
      <c r="E485" s="5">
        <v>64</v>
      </c>
      <c r="F485" s="5">
        <v>5882</v>
      </c>
      <c r="G485" s="5">
        <v>185</v>
      </c>
      <c r="H485" t="str">
        <f t="shared" si="36"/>
        <v>Valid</v>
      </c>
      <c r="I485" t="str">
        <f t="shared" si="37"/>
        <v>Valid</v>
      </c>
      <c r="J485" s="5">
        <f t="shared" si="38"/>
        <v>5697</v>
      </c>
      <c r="K485" s="5">
        <f t="shared" si="39"/>
        <v>5955</v>
      </c>
      <c r="L485" s="5">
        <f>IF(Table1[[#This Row],[Total_System_Load]]&gt;80%*AVERAGE(Table1[Total_System_Load]),Table1[[#This Row],[Total_System_Load]]-Table1[[#This Row],[Total_Children_Under_Care]],0)</f>
        <v>258</v>
      </c>
      <c r="M485" s="5">
        <f t="shared" si="35"/>
        <v>-121</v>
      </c>
      <c r="N485" s="5">
        <f>M486-Table1[[#This Row],[Net_Daily_Intake]]</f>
        <v>2</v>
      </c>
      <c r="O485" s="5">
        <f>M486-Table1[[#This Row],[Net_Daily_Intake]]/Table1[[#This Row],[Net_Daily_Intake]]</f>
        <v>-120</v>
      </c>
      <c r="P485" t="str">
        <f>IF(Table1[[#This Row],[Change_in_Net_Daily_Intake]]&gt;0,"Sustained Positive","Negative")</f>
        <v>Sustained Positive</v>
      </c>
      <c r="Q485" s="1">
        <f>(Table1[[#This Row],[Total_System_Load]]-Table1[[#This Row],[Total_Children_Under_Care]])/Table1[[#This Row],[Total_Children_Under_Care]]*100</f>
        <v>4.528699315429173</v>
      </c>
      <c r="R485" s="1">
        <f>(Table1[[#This Row],[Children_discharged _from_HHS_ Care]]/Table1[[#This Row],[Children_transferred_out_of_CBP_custody]])</f>
        <v>2.890625</v>
      </c>
    </row>
    <row r="486" spans="1:18" x14ac:dyDescent="0.3">
      <c r="A486">
        <v>485</v>
      </c>
      <c r="B486" s="7">
        <v>45663</v>
      </c>
      <c r="C486" s="5">
        <v>41</v>
      </c>
      <c r="D486" s="5">
        <v>60</v>
      </c>
      <c r="E486" s="5">
        <v>71</v>
      </c>
      <c r="F486" s="5">
        <v>5769</v>
      </c>
      <c r="G486" s="5">
        <v>190</v>
      </c>
      <c r="H486" t="str">
        <f t="shared" si="36"/>
        <v>Invalid</v>
      </c>
      <c r="I486" t="str">
        <f t="shared" si="37"/>
        <v>Valid</v>
      </c>
      <c r="J486" s="5">
        <f t="shared" si="38"/>
        <v>5579</v>
      </c>
      <c r="K486" s="5">
        <f t="shared" si="39"/>
        <v>5829</v>
      </c>
      <c r="L486" s="5">
        <f>IF(Table1[[#This Row],[Total_System_Load]]&gt;80%*AVERAGE(Table1[Total_System_Load]),Table1[[#This Row],[Total_System_Load]]-Table1[[#This Row],[Total_Children_Under_Care]],0)</f>
        <v>250</v>
      </c>
      <c r="M486" s="5">
        <f t="shared" si="35"/>
        <v>-119</v>
      </c>
      <c r="N486" s="5">
        <f>M487-Table1[[#This Row],[Net_Daily_Intake]]</f>
        <v>51</v>
      </c>
      <c r="O486" s="5">
        <f>M487-Table1[[#This Row],[Net_Daily_Intake]]/Table1[[#This Row],[Net_Daily_Intake]]</f>
        <v>-69</v>
      </c>
      <c r="P486" t="str">
        <f>IF(Table1[[#This Row],[Change_in_Net_Daily_Intake]]&gt;0,"Sustained Positive","Negative")</f>
        <v>Sustained Positive</v>
      </c>
      <c r="Q486" s="1">
        <f>(Table1[[#This Row],[Total_System_Load]]-Table1[[#This Row],[Total_Children_Under_Care]])/Table1[[#This Row],[Total_Children_Under_Care]]*100</f>
        <v>4.4810898010396132</v>
      </c>
      <c r="R486" s="1">
        <f>(Table1[[#This Row],[Children_discharged _from_HHS_ Care]]/Table1[[#This Row],[Children_transferred_out_of_CBP_custody]])</f>
        <v>2.676056338028169</v>
      </c>
    </row>
    <row r="487" spans="1:18" x14ac:dyDescent="0.3">
      <c r="A487">
        <v>486</v>
      </c>
      <c r="B487" s="7">
        <v>45664</v>
      </c>
      <c r="C487" s="5">
        <v>65</v>
      </c>
      <c r="D487" s="5">
        <v>83</v>
      </c>
      <c r="E487" s="5">
        <v>65</v>
      </c>
      <c r="F487" s="5">
        <v>5703</v>
      </c>
      <c r="G487" s="5">
        <v>133</v>
      </c>
      <c r="H487" t="str">
        <f t="shared" si="36"/>
        <v>Valid</v>
      </c>
      <c r="I487" t="str">
        <f t="shared" si="37"/>
        <v>Valid</v>
      </c>
      <c r="J487" s="5">
        <f t="shared" si="38"/>
        <v>5570</v>
      </c>
      <c r="K487" s="5">
        <f t="shared" si="39"/>
        <v>5786</v>
      </c>
      <c r="L487" s="5">
        <f>IF(Table1[[#This Row],[Total_System_Load]]&gt;80%*AVERAGE(Table1[Total_System_Load]),Table1[[#This Row],[Total_System_Load]]-Table1[[#This Row],[Total_Children_Under_Care]],0)</f>
        <v>216</v>
      </c>
      <c r="M487" s="5">
        <f t="shared" si="35"/>
        <v>-68</v>
      </c>
      <c r="N487" s="5">
        <f>M488-Table1[[#This Row],[Net_Daily_Intake]]</f>
        <v>-34</v>
      </c>
      <c r="O487" s="5">
        <f>M488-Table1[[#This Row],[Net_Daily_Intake]]/Table1[[#This Row],[Net_Daily_Intake]]</f>
        <v>-103</v>
      </c>
      <c r="P487" t="str">
        <f>IF(Table1[[#This Row],[Change_in_Net_Daily_Intake]]&gt;0,"Sustained Positive","Negative")</f>
        <v>Negative</v>
      </c>
      <c r="Q487" s="1">
        <f>(Table1[[#This Row],[Total_System_Load]]-Table1[[#This Row],[Total_Children_Under_Care]])/Table1[[#This Row],[Total_Children_Under_Care]]*100</f>
        <v>3.8779174147217237</v>
      </c>
      <c r="R487" s="1">
        <f>(Table1[[#This Row],[Children_discharged _from_HHS_ Care]]/Table1[[#This Row],[Children_transferred_out_of_CBP_custody]])</f>
        <v>2.046153846153846</v>
      </c>
    </row>
    <row r="488" spans="1:18" x14ac:dyDescent="0.3">
      <c r="A488">
        <v>487</v>
      </c>
      <c r="B488" s="7">
        <v>45665</v>
      </c>
      <c r="C488" s="5">
        <v>38</v>
      </c>
      <c r="D488" s="5">
        <v>80</v>
      </c>
      <c r="E488" s="5">
        <v>82</v>
      </c>
      <c r="F488" s="5">
        <v>5605</v>
      </c>
      <c r="G488" s="5">
        <v>184</v>
      </c>
      <c r="H488" t="str">
        <f t="shared" si="36"/>
        <v>Invalid</v>
      </c>
      <c r="I488" t="str">
        <f t="shared" si="37"/>
        <v>Valid</v>
      </c>
      <c r="J488" s="5">
        <f t="shared" si="38"/>
        <v>5421</v>
      </c>
      <c r="K488" s="5">
        <f t="shared" si="39"/>
        <v>5685</v>
      </c>
      <c r="L488" s="5">
        <f>IF(Table1[[#This Row],[Total_System_Load]]&gt;80%*AVERAGE(Table1[Total_System_Load]),Table1[[#This Row],[Total_System_Load]]-Table1[[#This Row],[Total_Children_Under_Care]],0)</f>
        <v>264</v>
      </c>
      <c r="M488" s="5">
        <f t="shared" si="35"/>
        <v>-102</v>
      </c>
      <c r="N488" s="5">
        <f>M489-Table1[[#This Row],[Net_Daily_Intake]]</f>
        <v>6</v>
      </c>
      <c r="O488" s="5">
        <f>M489-Table1[[#This Row],[Net_Daily_Intake]]/Table1[[#This Row],[Net_Daily_Intake]]</f>
        <v>-97</v>
      </c>
      <c r="P488" t="str">
        <f>IF(Table1[[#This Row],[Change_in_Net_Daily_Intake]]&gt;0,"Sustained Positive","Negative")</f>
        <v>Sustained Positive</v>
      </c>
      <c r="Q488" s="1">
        <f>(Table1[[#This Row],[Total_System_Load]]-Table1[[#This Row],[Total_Children_Under_Care]])/Table1[[#This Row],[Total_Children_Under_Care]]*100</f>
        <v>4.8699501936912002</v>
      </c>
      <c r="R488" s="1">
        <f>(Table1[[#This Row],[Children_discharged _from_HHS_ Care]]/Table1[[#This Row],[Children_transferred_out_of_CBP_custody]])</f>
        <v>2.2439024390243905</v>
      </c>
    </row>
    <row r="489" spans="1:18" x14ac:dyDescent="0.3">
      <c r="A489">
        <v>488</v>
      </c>
      <c r="B489" s="7">
        <v>45666</v>
      </c>
      <c r="C489" s="5">
        <v>56</v>
      </c>
      <c r="D489" s="5">
        <v>82</v>
      </c>
      <c r="E489" s="5">
        <v>68</v>
      </c>
      <c r="F489" s="5">
        <v>5507</v>
      </c>
      <c r="G489" s="5">
        <v>164</v>
      </c>
      <c r="H489" t="str">
        <f t="shared" si="36"/>
        <v>Valid</v>
      </c>
      <c r="I489" t="str">
        <f t="shared" si="37"/>
        <v>Valid</v>
      </c>
      <c r="J489" s="5">
        <f t="shared" si="38"/>
        <v>5343</v>
      </c>
      <c r="K489" s="5">
        <f t="shared" si="39"/>
        <v>5589</v>
      </c>
      <c r="L489" s="5">
        <f>IF(Table1[[#This Row],[Total_System_Load]]&gt;80%*AVERAGE(Table1[Total_System_Load]),Table1[[#This Row],[Total_System_Load]]-Table1[[#This Row],[Total_Children_Under_Care]],0)</f>
        <v>246</v>
      </c>
      <c r="M489" s="5">
        <f t="shared" si="35"/>
        <v>-96</v>
      </c>
      <c r="N489" s="5">
        <f>M490-Table1[[#This Row],[Net_Daily_Intake]]</f>
        <v>-59</v>
      </c>
      <c r="O489" s="5">
        <f>M490-Table1[[#This Row],[Net_Daily_Intake]]/Table1[[#This Row],[Net_Daily_Intake]]</f>
        <v>-156</v>
      </c>
      <c r="P489" t="str">
        <f>IF(Table1[[#This Row],[Change_in_Net_Daily_Intake]]&gt;0,"Sustained Positive","Negative")</f>
        <v>Negative</v>
      </c>
      <c r="Q489" s="1">
        <f>(Table1[[#This Row],[Total_System_Load]]-Table1[[#This Row],[Total_Children_Under_Care]])/Table1[[#This Row],[Total_Children_Under_Care]]*100</f>
        <v>4.6041549691184729</v>
      </c>
      <c r="R489" s="1">
        <f>(Table1[[#This Row],[Children_discharged _from_HHS_ Care]]/Table1[[#This Row],[Children_transferred_out_of_CBP_custody]])</f>
        <v>2.4117647058823528</v>
      </c>
    </row>
    <row r="490" spans="1:18" x14ac:dyDescent="0.3">
      <c r="A490">
        <v>489</v>
      </c>
      <c r="B490" s="7">
        <v>45669</v>
      </c>
      <c r="C490" s="5">
        <v>74</v>
      </c>
      <c r="D490" s="5">
        <v>103</v>
      </c>
      <c r="E490" s="5">
        <v>80</v>
      </c>
      <c r="F490" s="5">
        <v>5092</v>
      </c>
      <c r="G490" s="5">
        <v>235</v>
      </c>
      <c r="H490" t="str">
        <f t="shared" si="36"/>
        <v>Valid</v>
      </c>
      <c r="I490" t="str">
        <f t="shared" si="37"/>
        <v>Valid</v>
      </c>
      <c r="J490" s="5">
        <f t="shared" si="38"/>
        <v>4857</v>
      </c>
      <c r="K490" s="5">
        <f t="shared" si="39"/>
        <v>5195</v>
      </c>
      <c r="L490" s="5">
        <f>IF(Table1[[#This Row],[Total_System_Load]]&gt;80%*AVERAGE(Table1[Total_System_Load]),Table1[[#This Row],[Total_System_Load]]-Table1[[#This Row],[Total_Children_Under_Care]],0)</f>
        <v>338</v>
      </c>
      <c r="M490" s="5">
        <f t="shared" si="35"/>
        <v>-155</v>
      </c>
      <c r="N490" s="5">
        <f>M491-Table1[[#This Row],[Net_Daily_Intake]]</f>
        <v>76</v>
      </c>
      <c r="O490" s="5">
        <f>M491-Table1[[#This Row],[Net_Daily_Intake]]/Table1[[#This Row],[Net_Daily_Intake]]</f>
        <v>-80</v>
      </c>
      <c r="P490" t="str">
        <f>IF(Table1[[#This Row],[Change_in_Net_Daily_Intake]]&gt;0,"Sustained Positive","Negative")</f>
        <v>Sustained Positive</v>
      </c>
      <c r="Q490" s="1">
        <f>(Table1[[#This Row],[Total_System_Load]]-Table1[[#This Row],[Total_Children_Under_Care]])/Table1[[#This Row],[Total_Children_Under_Care]]*100</f>
        <v>6.9590282067119622</v>
      </c>
      <c r="R490" s="1">
        <f>(Table1[[#This Row],[Children_discharged _from_HHS_ Care]]/Table1[[#This Row],[Children_transferred_out_of_CBP_custody]])</f>
        <v>2.9375</v>
      </c>
    </row>
    <row r="491" spans="1:18" x14ac:dyDescent="0.3">
      <c r="A491">
        <v>490</v>
      </c>
      <c r="B491" s="7">
        <v>45670</v>
      </c>
      <c r="C491" s="5">
        <v>68</v>
      </c>
      <c r="D491" s="5">
        <v>107</v>
      </c>
      <c r="E491" s="5">
        <v>102</v>
      </c>
      <c r="F491" s="5">
        <v>5019</v>
      </c>
      <c r="G491" s="5">
        <v>181</v>
      </c>
      <c r="H491" t="str">
        <f t="shared" si="36"/>
        <v>Valid</v>
      </c>
      <c r="I491" t="str">
        <f t="shared" si="37"/>
        <v>Valid</v>
      </c>
      <c r="J491" s="5">
        <f t="shared" si="38"/>
        <v>4838</v>
      </c>
      <c r="K491" s="5">
        <f t="shared" si="39"/>
        <v>5126</v>
      </c>
      <c r="L491" s="5">
        <f>IF(Table1[[#This Row],[Total_System_Load]]&gt;80%*AVERAGE(Table1[Total_System_Load]),Table1[[#This Row],[Total_System_Load]]-Table1[[#This Row],[Total_Children_Under_Care]],0)</f>
        <v>288</v>
      </c>
      <c r="M491" s="5">
        <f t="shared" si="35"/>
        <v>-79</v>
      </c>
      <c r="N491" s="5">
        <f>M492-Table1[[#This Row],[Net_Daily_Intake]]</f>
        <v>33</v>
      </c>
      <c r="O491" s="5">
        <f>M492-Table1[[#This Row],[Net_Daily_Intake]]/Table1[[#This Row],[Net_Daily_Intake]]</f>
        <v>-47</v>
      </c>
      <c r="P491" t="str">
        <f>IF(Table1[[#This Row],[Change_in_Net_Daily_Intake]]&gt;0,"Sustained Positive","Negative")</f>
        <v>Sustained Positive</v>
      </c>
      <c r="Q491" s="1">
        <f>(Table1[[#This Row],[Total_System_Load]]-Table1[[#This Row],[Total_Children_Under_Care]])/Table1[[#This Row],[Total_Children_Under_Care]]*100</f>
        <v>5.9528730880529146</v>
      </c>
      <c r="R491" s="1">
        <f>(Table1[[#This Row],[Children_discharged _from_HHS_ Care]]/Table1[[#This Row],[Children_transferred_out_of_CBP_custody]])</f>
        <v>1.7745098039215685</v>
      </c>
    </row>
    <row r="492" spans="1:18" x14ac:dyDescent="0.3">
      <c r="A492">
        <v>491</v>
      </c>
      <c r="B492" s="7">
        <v>45671</v>
      </c>
      <c r="C492" s="5">
        <v>92</v>
      </c>
      <c r="D492" s="5">
        <v>124</v>
      </c>
      <c r="E492" s="5">
        <v>93</v>
      </c>
      <c r="F492" s="5">
        <v>4957</v>
      </c>
      <c r="G492" s="5">
        <v>139</v>
      </c>
      <c r="H492" t="str">
        <f t="shared" si="36"/>
        <v>Valid</v>
      </c>
      <c r="I492" t="str">
        <f t="shared" si="37"/>
        <v>Valid</v>
      </c>
      <c r="J492" s="5">
        <f t="shared" si="38"/>
        <v>4818</v>
      </c>
      <c r="K492" s="5">
        <f t="shared" si="39"/>
        <v>5081</v>
      </c>
      <c r="L492" s="5">
        <f>IF(Table1[[#This Row],[Total_System_Load]]&gt;80%*AVERAGE(Table1[Total_System_Load]),Table1[[#This Row],[Total_System_Load]]-Table1[[#This Row],[Total_Children_Under_Care]],0)</f>
        <v>263</v>
      </c>
      <c r="M492" s="5">
        <f t="shared" si="35"/>
        <v>-46</v>
      </c>
      <c r="N492" s="5">
        <f>M493-Table1[[#This Row],[Net_Daily_Intake]]</f>
        <v>-11</v>
      </c>
      <c r="O492" s="5">
        <f>M493-Table1[[#This Row],[Net_Daily_Intake]]/Table1[[#This Row],[Net_Daily_Intake]]</f>
        <v>-58</v>
      </c>
      <c r="P492" t="str">
        <f>IF(Table1[[#This Row],[Change_in_Net_Daily_Intake]]&gt;0,"Sustained Positive","Negative")</f>
        <v>Negative</v>
      </c>
      <c r="Q492" s="1">
        <f>(Table1[[#This Row],[Total_System_Load]]-Table1[[#This Row],[Total_Children_Under_Care]])/Table1[[#This Row],[Total_Children_Under_Care]]*100</f>
        <v>5.4586965545869655</v>
      </c>
      <c r="R492" s="1">
        <f>(Table1[[#This Row],[Children_discharged _from_HHS_ Care]]/Table1[[#This Row],[Children_transferred_out_of_CBP_custody]])</f>
        <v>1.4946236559139785</v>
      </c>
    </row>
    <row r="493" spans="1:18" x14ac:dyDescent="0.3">
      <c r="A493">
        <v>492</v>
      </c>
      <c r="B493" s="7">
        <v>45672</v>
      </c>
      <c r="C493" s="5">
        <v>113</v>
      </c>
      <c r="D493" s="5">
        <v>162</v>
      </c>
      <c r="E493" s="5">
        <v>107</v>
      </c>
      <c r="F493" s="5">
        <v>4903</v>
      </c>
      <c r="G493" s="5">
        <v>164</v>
      </c>
      <c r="H493" t="str">
        <f t="shared" si="36"/>
        <v>Valid</v>
      </c>
      <c r="I493" t="str">
        <f t="shared" si="37"/>
        <v>Valid</v>
      </c>
      <c r="J493" s="5">
        <f t="shared" si="38"/>
        <v>4739</v>
      </c>
      <c r="K493" s="5">
        <f t="shared" si="39"/>
        <v>5065</v>
      </c>
      <c r="L493" s="5">
        <f>IF(Table1[[#This Row],[Total_System_Load]]&gt;80%*AVERAGE(Table1[Total_System_Load]),Table1[[#This Row],[Total_System_Load]]-Table1[[#This Row],[Total_Children_Under_Care]],0)</f>
        <v>326</v>
      </c>
      <c r="M493" s="5">
        <f t="shared" si="35"/>
        <v>-57</v>
      </c>
      <c r="N493" s="5">
        <f>M494-Table1[[#This Row],[Net_Daily_Intake]]</f>
        <v>29</v>
      </c>
      <c r="O493" s="5">
        <f>M494-Table1[[#This Row],[Net_Daily_Intake]]/Table1[[#This Row],[Net_Daily_Intake]]</f>
        <v>-29</v>
      </c>
      <c r="P493" t="str">
        <f>IF(Table1[[#This Row],[Change_in_Net_Daily_Intake]]&gt;0,"Sustained Positive","Negative")</f>
        <v>Sustained Positive</v>
      </c>
      <c r="Q493" s="1">
        <f>(Table1[[#This Row],[Total_System_Load]]-Table1[[#This Row],[Total_Children_Under_Care]])/Table1[[#This Row],[Total_Children_Under_Care]]*100</f>
        <v>6.8790884152774847</v>
      </c>
      <c r="R493" s="1">
        <f>(Table1[[#This Row],[Children_discharged _from_HHS_ Care]]/Table1[[#This Row],[Children_transferred_out_of_CBP_custody]])</f>
        <v>1.5327102803738317</v>
      </c>
    </row>
    <row r="494" spans="1:18" x14ac:dyDescent="0.3">
      <c r="A494">
        <v>493</v>
      </c>
      <c r="B494" s="7">
        <v>45673</v>
      </c>
      <c r="C494" s="5">
        <v>106</v>
      </c>
      <c r="D494" s="5">
        <v>196</v>
      </c>
      <c r="E494" s="5">
        <v>131</v>
      </c>
      <c r="F494" s="5">
        <v>4881</v>
      </c>
      <c r="G494" s="5">
        <v>159</v>
      </c>
      <c r="H494" t="str">
        <f t="shared" si="36"/>
        <v>Valid</v>
      </c>
      <c r="I494" t="str">
        <f t="shared" si="37"/>
        <v>Valid</v>
      </c>
      <c r="J494" s="5">
        <f t="shared" si="38"/>
        <v>4722</v>
      </c>
      <c r="K494" s="5">
        <f t="shared" si="39"/>
        <v>5077</v>
      </c>
      <c r="L494" s="5">
        <f>IF(Table1[[#This Row],[Total_System_Load]]&gt;80%*AVERAGE(Table1[Total_System_Load]),Table1[[#This Row],[Total_System_Load]]-Table1[[#This Row],[Total_Children_Under_Care]],0)</f>
        <v>355</v>
      </c>
      <c r="M494" s="5">
        <f t="shared" si="35"/>
        <v>-28</v>
      </c>
      <c r="N494" s="5">
        <f>M495-Table1[[#This Row],[Net_Daily_Intake]]</f>
        <v>20</v>
      </c>
      <c r="O494" s="5">
        <f>M495-Table1[[#This Row],[Net_Daily_Intake]]/Table1[[#This Row],[Net_Daily_Intake]]</f>
        <v>-9</v>
      </c>
      <c r="P494" t="str">
        <f>IF(Table1[[#This Row],[Change_in_Net_Daily_Intake]]&gt;0,"Sustained Positive","Negative")</f>
        <v>Sustained Positive</v>
      </c>
      <c r="Q494" s="1">
        <f>(Table1[[#This Row],[Total_System_Load]]-Table1[[#This Row],[Total_Children_Under_Care]])/Table1[[#This Row],[Total_Children_Under_Care]]*100</f>
        <v>7.518000847098687</v>
      </c>
      <c r="R494" s="1">
        <f>(Table1[[#This Row],[Children_discharged _from_HHS_ Care]]/Table1[[#This Row],[Children_transferred_out_of_CBP_custody]])</f>
        <v>1.2137404580152671</v>
      </c>
    </row>
    <row r="495" spans="1:18" x14ac:dyDescent="0.3">
      <c r="A495">
        <v>494</v>
      </c>
      <c r="B495" s="7">
        <v>45676</v>
      </c>
      <c r="C495" s="5">
        <v>86</v>
      </c>
      <c r="D495" s="5">
        <v>152</v>
      </c>
      <c r="E495" s="5">
        <v>168</v>
      </c>
      <c r="F495" s="5">
        <v>4628</v>
      </c>
      <c r="G495" s="5">
        <v>176</v>
      </c>
      <c r="H495" t="str">
        <f t="shared" si="36"/>
        <v>Invalid</v>
      </c>
      <c r="I495" t="str">
        <f t="shared" si="37"/>
        <v>Valid</v>
      </c>
      <c r="J495" s="5">
        <f t="shared" si="38"/>
        <v>4452</v>
      </c>
      <c r="K495" s="5">
        <f t="shared" si="39"/>
        <v>4780</v>
      </c>
      <c r="L495" s="5">
        <f>IF(Table1[[#This Row],[Total_System_Load]]&gt;80%*AVERAGE(Table1[Total_System_Load]),Table1[[#This Row],[Total_System_Load]]-Table1[[#This Row],[Total_Children_Under_Care]],0)</f>
        <v>0</v>
      </c>
      <c r="M495" s="5">
        <f t="shared" si="35"/>
        <v>-8</v>
      </c>
      <c r="N495" s="5">
        <f>M496-Table1[[#This Row],[Net_Daily_Intake]]</f>
        <v>17</v>
      </c>
      <c r="O495" s="5">
        <f>M496-Table1[[#This Row],[Net_Daily_Intake]]/Table1[[#This Row],[Net_Daily_Intake]]</f>
        <v>8</v>
      </c>
      <c r="P495" t="str">
        <f>IF(Table1[[#This Row],[Change_in_Net_Daily_Intake]]&gt;0,"Sustained Positive","Negative")</f>
        <v>Sustained Positive</v>
      </c>
      <c r="Q495" s="1">
        <f>(Table1[[#This Row],[Total_System_Load]]-Table1[[#This Row],[Total_Children_Under_Care]])/Table1[[#This Row],[Total_Children_Under_Care]]*100</f>
        <v>7.3674752920035935</v>
      </c>
      <c r="R495" s="1">
        <f>(Table1[[#This Row],[Children_discharged _from_HHS_ Care]]/Table1[[#This Row],[Children_transferred_out_of_CBP_custody]])</f>
        <v>1.0476190476190477</v>
      </c>
    </row>
    <row r="496" spans="1:18" x14ac:dyDescent="0.3">
      <c r="A496">
        <v>495</v>
      </c>
      <c r="B496" s="7">
        <v>45677</v>
      </c>
      <c r="C496" s="5">
        <v>84</v>
      </c>
      <c r="D496" s="5">
        <v>118</v>
      </c>
      <c r="E496" s="5">
        <v>136</v>
      </c>
      <c r="F496" s="5">
        <v>4638</v>
      </c>
      <c r="G496" s="5">
        <v>127</v>
      </c>
      <c r="H496" t="str">
        <f t="shared" si="36"/>
        <v>Invalid</v>
      </c>
      <c r="I496" t="str">
        <f t="shared" si="37"/>
        <v>Valid</v>
      </c>
      <c r="J496" s="5">
        <f t="shared" si="38"/>
        <v>4511</v>
      </c>
      <c r="K496" s="5">
        <f t="shared" si="39"/>
        <v>4756</v>
      </c>
      <c r="L496" s="5">
        <f>IF(Table1[[#This Row],[Total_System_Load]]&gt;80%*AVERAGE(Table1[Total_System_Load]),Table1[[#This Row],[Total_System_Load]]-Table1[[#This Row],[Total_Children_Under_Care]],0)</f>
        <v>0</v>
      </c>
      <c r="M496" s="5">
        <f t="shared" si="35"/>
        <v>9</v>
      </c>
      <c r="N496" s="5">
        <f>M497-Table1[[#This Row],[Net_Daily_Intake]]</f>
        <v>54</v>
      </c>
      <c r="O496" s="5">
        <f>M497-Table1[[#This Row],[Net_Daily_Intake]]/Table1[[#This Row],[Net_Daily_Intake]]</f>
        <v>62</v>
      </c>
      <c r="P496" t="str">
        <f>IF(Table1[[#This Row],[Change_in_Net_Daily_Intake]]&gt;0,"Sustained Positive","Negative")</f>
        <v>Sustained Positive</v>
      </c>
      <c r="Q496" s="1">
        <f>(Table1[[#This Row],[Total_System_Load]]-Table1[[#This Row],[Total_Children_Under_Care]])/Table1[[#This Row],[Total_Children_Under_Care]]*100</f>
        <v>5.4311682553757485</v>
      </c>
      <c r="R496" s="1">
        <f>(Table1[[#This Row],[Children_discharged _from_HHS_ Care]]/Table1[[#This Row],[Children_transferred_out_of_CBP_custody]])</f>
        <v>0.93382352941176472</v>
      </c>
    </row>
    <row r="497" spans="1:18" x14ac:dyDescent="0.3">
      <c r="A497">
        <v>496</v>
      </c>
      <c r="B497" s="7">
        <v>45678</v>
      </c>
      <c r="C497" s="5">
        <v>59</v>
      </c>
      <c r="D497" s="5">
        <v>64</v>
      </c>
      <c r="E497" s="5">
        <v>117</v>
      </c>
      <c r="F497" s="5">
        <v>4728</v>
      </c>
      <c r="G497" s="5">
        <v>54</v>
      </c>
      <c r="H497" t="str">
        <f t="shared" si="36"/>
        <v>Invalid</v>
      </c>
      <c r="I497" t="str">
        <f t="shared" si="37"/>
        <v>Valid</v>
      </c>
      <c r="J497" s="5">
        <f t="shared" si="38"/>
        <v>4674</v>
      </c>
      <c r="K497" s="5">
        <f t="shared" si="39"/>
        <v>4792</v>
      </c>
      <c r="L497" s="5">
        <f>IF(Table1[[#This Row],[Total_System_Load]]&gt;80%*AVERAGE(Table1[Total_System_Load]),Table1[[#This Row],[Total_System_Load]]-Table1[[#This Row],[Total_Children_Under_Care]],0)</f>
        <v>0</v>
      </c>
      <c r="M497" s="5">
        <f t="shared" si="35"/>
        <v>63</v>
      </c>
      <c r="N497" s="5">
        <f>M498-Table1[[#This Row],[Net_Daily_Intake]]</f>
        <v>-94</v>
      </c>
      <c r="O497" s="5">
        <f>M498-Table1[[#This Row],[Net_Daily_Intake]]/Table1[[#This Row],[Net_Daily_Intake]]</f>
        <v>-32</v>
      </c>
      <c r="P497" t="str">
        <f>IF(Table1[[#This Row],[Change_in_Net_Daily_Intake]]&gt;0,"Sustained Positive","Negative")</f>
        <v>Negative</v>
      </c>
      <c r="Q497" s="1">
        <f>(Table1[[#This Row],[Total_System_Load]]-Table1[[#This Row],[Total_Children_Under_Care]])/Table1[[#This Row],[Total_Children_Under_Care]]*100</f>
        <v>2.5246041934103554</v>
      </c>
      <c r="R497" s="1">
        <f>(Table1[[#This Row],[Children_discharged _from_HHS_ Care]]/Table1[[#This Row],[Children_transferred_out_of_CBP_custody]])</f>
        <v>0.46153846153846156</v>
      </c>
    </row>
    <row r="498" spans="1:18" x14ac:dyDescent="0.3">
      <c r="A498">
        <v>497</v>
      </c>
      <c r="B498" s="7">
        <v>45679</v>
      </c>
      <c r="C498" s="5">
        <v>62</v>
      </c>
      <c r="D498" s="5">
        <v>97</v>
      </c>
      <c r="E498" s="5">
        <v>52</v>
      </c>
      <c r="F498" s="5">
        <v>4717</v>
      </c>
      <c r="G498" s="5">
        <v>83</v>
      </c>
      <c r="H498" t="str">
        <f t="shared" si="36"/>
        <v>Valid</v>
      </c>
      <c r="I498" t="str">
        <f t="shared" si="37"/>
        <v>Valid</v>
      </c>
      <c r="J498" s="5">
        <f t="shared" si="38"/>
        <v>4634</v>
      </c>
      <c r="K498" s="5">
        <f t="shared" si="39"/>
        <v>4814</v>
      </c>
      <c r="L498" s="5">
        <f>IF(Table1[[#This Row],[Total_System_Load]]&gt;80%*AVERAGE(Table1[Total_System_Load]),Table1[[#This Row],[Total_System_Load]]-Table1[[#This Row],[Total_Children_Under_Care]],0)</f>
        <v>0</v>
      </c>
      <c r="M498" s="5">
        <f t="shared" si="35"/>
        <v>-31</v>
      </c>
      <c r="N498" s="5">
        <f>M499-Table1[[#This Row],[Net_Daily_Intake]]</f>
        <v>-46</v>
      </c>
      <c r="O498" s="5">
        <f>M499-Table1[[#This Row],[Net_Daily_Intake]]/Table1[[#This Row],[Net_Daily_Intake]]</f>
        <v>-78</v>
      </c>
      <c r="P498" t="str">
        <f>IF(Table1[[#This Row],[Change_in_Net_Daily_Intake]]&gt;0,"Sustained Positive","Negative")</f>
        <v>Negative</v>
      </c>
      <c r="Q498" s="1">
        <f>(Table1[[#This Row],[Total_System_Load]]-Table1[[#This Row],[Total_Children_Under_Care]])/Table1[[#This Row],[Total_Children_Under_Care]]*100</f>
        <v>3.8843331894691415</v>
      </c>
      <c r="R498" s="1">
        <f>(Table1[[#This Row],[Children_discharged _from_HHS_ Care]]/Table1[[#This Row],[Children_transferred_out_of_CBP_custody]])</f>
        <v>1.5961538461538463</v>
      </c>
    </row>
    <row r="499" spans="1:18" x14ac:dyDescent="0.3">
      <c r="A499">
        <v>498</v>
      </c>
      <c r="B499" s="7">
        <v>45680</v>
      </c>
      <c r="C499" s="5">
        <v>91</v>
      </c>
      <c r="D499" s="5">
        <v>75</v>
      </c>
      <c r="E499" s="5">
        <v>97</v>
      </c>
      <c r="F499" s="5">
        <v>4621</v>
      </c>
      <c r="G499" s="5">
        <v>174</v>
      </c>
      <c r="H499" t="str">
        <f t="shared" si="36"/>
        <v>Invalid</v>
      </c>
      <c r="I499" t="str">
        <f t="shared" si="37"/>
        <v>Valid</v>
      </c>
      <c r="J499" s="5">
        <f t="shared" si="38"/>
        <v>4447</v>
      </c>
      <c r="K499" s="5">
        <f t="shared" si="39"/>
        <v>4696</v>
      </c>
      <c r="L499" s="5">
        <f>IF(Table1[[#This Row],[Total_System_Load]]&gt;80%*AVERAGE(Table1[Total_System_Load]),Table1[[#This Row],[Total_System_Load]]-Table1[[#This Row],[Total_Children_Under_Care]],0)</f>
        <v>0</v>
      </c>
      <c r="M499" s="5">
        <f t="shared" si="35"/>
        <v>-77</v>
      </c>
      <c r="N499" s="5">
        <f>M500-Table1[[#This Row],[Net_Daily_Intake]]</f>
        <v>-94</v>
      </c>
      <c r="O499" s="5">
        <f>M500-Table1[[#This Row],[Net_Daily_Intake]]/Table1[[#This Row],[Net_Daily_Intake]]</f>
        <v>-172</v>
      </c>
      <c r="P499" t="str">
        <f>IF(Table1[[#This Row],[Change_in_Net_Daily_Intake]]&gt;0,"Sustained Positive","Negative")</f>
        <v>Negative</v>
      </c>
      <c r="Q499" s="1">
        <f>(Table1[[#This Row],[Total_System_Load]]-Table1[[#This Row],[Total_Children_Under_Care]])/Table1[[#This Row],[Total_Children_Under_Care]]*100</f>
        <v>5.5992804137620862</v>
      </c>
      <c r="R499" s="1">
        <f>(Table1[[#This Row],[Children_discharged _from_HHS_ Care]]/Table1[[#This Row],[Children_transferred_out_of_CBP_custody]])</f>
        <v>1.7938144329896908</v>
      </c>
    </row>
    <row r="500" spans="1:18" x14ac:dyDescent="0.3">
      <c r="A500">
        <v>499</v>
      </c>
      <c r="B500" s="7">
        <v>45683</v>
      </c>
      <c r="C500" s="5">
        <v>29</v>
      </c>
      <c r="D500" s="5">
        <v>51</v>
      </c>
      <c r="E500" s="5">
        <v>11</v>
      </c>
      <c r="F500" s="5">
        <v>4241</v>
      </c>
      <c r="G500" s="5">
        <v>182</v>
      </c>
      <c r="H500" t="str">
        <f t="shared" si="36"/>
        <v>Valid</v>
      </c>
      <c r="I500" t="str">
        <f t="shared" si="37"/>
        <v>Valid</v>
      </c>
      <c r="J500" s="5">
        <f t="shared" si="38"/>
        <v>4059</v>
      </c>
      <c r="K500" s="5">
        <f t="shared" si="39"/>
        <v>4292</v>
      </c>
      <c r="L500" s="5">
        <f>IF(Table1[[#This Row],[Total_System_Load]]&gt;80%*AVERAGE(Table1[Total_System_Load]),Table1[[#This Row],[Total_System_Load]]-Table1[[#This Row],[Total_Children_Under_Care]],0)</f>
        <v>0</v>
      </c>
      <c r="M500" s="5">
        <f t="shared" si="35"/>
        <v>-171</v>
      </c>
      <c r="N500" s="5">
        <f>M501-Table1[[#This Row],[Net_Daily_Intake]]</f>
        <v>78</v>
      </c>
      <c r="O500" s="5">
        <f>M501-Table1[[#This Row],[Net_Daily_Intake]]/Table1[[#This Row],[Net_Daily_Intake]]</f>
        <v>-94</v>
      </c>
      <c r="P500" t="str">
        <f>IF(Table1[[#This Row],[Change_in_Net_Daily_Intake]]&gt;0,"Sustained Positive","Negative")</f>
        <v>Sustained Positive</v>
      </c>
      <c r="Q500" s="1">
        <f>(Table1[[#This Row],[Total_System_Load]]-Table1[[#This Row],[Total_Children_Under_Care]])/Table1[[#This Row],[Total_Children_Under_Care]]*100</f>
        <v>5.7403301305740335</v>
      </c>
      <c r="R500" s="1">
        <f>(Table1[[#This Row],[Children_discharged _from_HHS_ Care]]/Table1[[#This Row],[Children_transferred_out_of_CBP_custody]])</f>
        <v>16.545454545454547</v>
      </c>
    </row>
    <row r="501" spans="1:18" x14ac:dyDescent="0.3">
      <c r="A501">
        <v>500</v>
      </c>
      <c r="B501" s="7">
        <v>45684</v>
      </c>
      <c r="C501" s="5">
        <v>33</v>
      </c>
      <c r="D501" s="5">
        <v>53</v>
      </c>
      <c r="E501" s="5">
        <v>34</v>
      </c>
      <c r="F501" s="5">
        <v>4161</v>
      </c>
      <c r="G501" s="5">
        <v>127</v>
      </c>
      <c r="H501" t="str">
        <f t="shared" si="36"/>
        <v>Valid</v>
      </c>
      <c r="I501" t="str">
        <f t="shared" si="37"/>
        <v>Valid</v>
      </c>
      <c r="J501" s="5">
        <f t="shared" si="38"/>
        <v>4034</v>
      </c>
      <c r="K501" s="5">
        <f t="shared" si="39"/>
        <v>4214</v>
      </c>
      <c r="L501" s="5">
        <f>IF(Table1[[#This Row],[Total_System_Load]]&gt;80%*AVERAGE(Table1[Total_System_Load]),Table1[[#This Row],[Total_System_Load]]-Table1[[#This Row],[Total_Children_Under_Care]],0)</f>
        <v>0</v>
      </c>
      <c r="M501" s="5">
        <f t="shared" si="35"/>
        <v>-93</v>
      </c>
      <c r="N501" s="5">
        <f>M502-Table1[[#This Row],[Net_Daily_Intake]]</f>
        <v>31</v>
      </c>
      <c r="O501" s="5">
        <f>M502-Table1[[#This Row],[Net_Daily_Intake]]/Table1[[#This Row],[Net_Daily_Intake]]</f>
        <v>-63</v>
      </c>
      <c r="P501" t="str">
        <f>IF(Table1[[#This Row],[Change_in_Net_Daily_Intake]]&gt;0,"Sustained Positive","Negative")</f>
        <v>Sustained Positive</v>
      </c>
      <c r="Q501" s="1">
        <f>(Table1[[#This Row],[Total_System_Load]]-Table1[[#This Row],[Total_Children_Under_Care]])/Table1[[#This Row],[Total_Children_Under_Care]]*100</f>
        <v>4.4620723847297965</v>
      </c>
      <c r="R501" s="1">
        <f>(Table1[[#This Row],[Children_discharged _from_HHS_ Care]]/Table1[[#This Row],[Children_transferred_out_of_CBP_custody]])</f>
        <v>3.7352941176470589</v>
      </c>
    </row>
    <row r="502" spans="1:18" x14ac:dyDescent="0.3">
      <c r="A502">
        <v>501</v>
      </c>
      <c r="B502" s="7">
        <v>45685</v>
      </c>
      <c r="C502" s="5">
        <v>32</v>
      </c>
      <c r="D502" s="5">
        <v>49</v>
      </c>
      <c r="E502" s="5">
        <v>39</v>
      </c>
      <c r="F502" s="5">
        <v>4096</v>
      </c>
      <c r="G502" s="5">
        <v>101</v>
      </c>
      <c r="H502" t="str">
        <f t="shared" si="36"/>
        <v>Valid</v>
      </c>
      <c r="I502" t="str">
        <f t="shared" si="37"/>
        <v>Valid</v>
      </c>
      <c r="J502" s="5">
        <f t="shared" si="38"/>
        <v>3995</v>
      </c>
      <c r="K502" s="5">
        <f t="shared" si="39"/>
        <v>4145</v>
      </c>
      <c r="L502" s="5">
        <f>IF(Table1[[#This Row],[Total_System_Load]]&gt;80%*AVERAGE(Table1[Total_System_Load]),Table1[[#This Row],[Total_System_Load]]-Table1[[#This Row],[Total_Children_Under_Care]],0)</f>
        <v>0</v>
      </c>
      <c r="M502" s="5">
        <f t="shared" si="35"/>
        <v>-62</v>
      </c>
      <c r="N502" s="5">
        <f>M503-Table1[[#This Row],[Net_Daily_Intake]]</f>
        <v>2</v>
      </c>
      <c r="O502" s="5">
        <f>M503-Table1[[#This Row],[Net_Daily_Intake]]/Table1[[#This Row],[Net_Daily_Intake]]</f>
        <v>-61</v>
      </c>
      <c r="P502" t="str">
        <f>IF(Table1[[#This Row],[Change_in_Net_Daily_Intake]]&gt;0,"Sustained Positive","Negative")</f>
        <v>Sustained Positive</v>
      </c>
      <c r="Q502" s="1">
        <f>(Table1[[#This Row],[Total_System_Load]]-Table1[[#This Row],[Total_Children_Under_Care]])/Table1[[#This Row],[Total_Children_Under_Care]]*100</f>
        <v>3.7546933667083859</v>
      </c>
      <c r="R502" s="1">
        <f>(Table1[[#This Row],[Children_discharged _from_HHS_ Care]]/Table1[[#This Row],[Children_transferred_out_of_CBP_custody]])</f>
        <v>2.5897435897435899</v>
      </c>
    </row>
    <row r="503" spans="1:18" x14ac:dyDescent="0.3">
      <c r="A503">
        <v>502</v>
      </c>
      <c r="B503" s="7">
        <v>45686</v>
      </c>
      <c r="C503" s="5">
        <v>32</v>
      </c>
      <c r="D503" s="5">
        <v>50</v>
      </c>
      <c r="E503" s="5">
        <v>39</v>
      </c>
      <c r="F503" s="5">
        <v>4036</v>
      </c>
      <c r="G503" s="5">
        <v>99</v>
      </c>
      <c r="H503" t="str">
        <f t="shared" si="36"/>
        <v>Valid</v>
      </c>
      <c r="I503" t="str">
        <f t="shared" si="37"/>
        <v>Valid</v>
      </c>
      <c r="J503" s="5">
        <f t="shared" si="38"/>
        <v>3937</v>
      </c>
      <c r="K503" s="5">
        <f t="shared" si="39"/>
        <v>4086</v>
      </c>
      <c r="L503" s="5">
        <f>IF(Table1[[#This Row],[Total_System_Load]]&gt;80%*AVERAGE(Table1[Total_System_Load]),Table1[[#This Row],[Total_System_Load]]-Table1[[#This Row],[Total_Children_Under_Care]],0)</f>
        <v>0</v>
      </c>
      <c r="M503" s="5">
        <f t="shared" si="35"/>
        <v>-60</v>
      </c>
      <c r="N503" s="5">
        <f>M504-Table1[[#This Row],[Net_Daily_Intake]]</f>
        <v>-52</v>
      </c>
      <c r="O503" s="5">
        <f>M504-Table1[[#This Row],[Net_Daily_Intake]]/Table1[[#This Row],[Net_Daily_Intake]]</f>
        <v>-113</v>
      </c>
      <c r="P503" t="str">
        <f>IF(Table1[[#This Row],[Change_in_Net_Daily_Intake]]&gt;0,"Sustained Positive","Negative")</f>
        <v>Negative</v>
      </c>
      <c r="Q503" s="1">
        <f>(Table1[[#This Row],[Total_System_Load]]-Table1[[#This Row],[Total_Children_Under_Care]])/Table1[[#This Row],[Total_Children_Under_Care]]*100</f>
        <v>3.7846075692151384</v>
      </c>
      <c r="R503" s="1">
        <f>(Table1[[#This Row],[Children_discharged _from_HHS_ Care]]/Table1[[#This Row],[Children_transferred_out_of_CBP_custody]])</f>
        <v>2.5384615384615383</v>
      </c>
    </row>
    <row r="504" spans="1:18" x14ac:dyDescent="0.3">
      <c r="A504">
        <v>503</v>
      </c>
      <c r="B504" s="7">
        <v>45687</v>
      </c>
      <c r="C504" s="5">
        <v>47</v>
      </c>
      <c r="D504" s="5">
        <v>42</v>
      </c>
      <c r="E504" s="5">
        <v>47</v>
      </c>
      <c r="F504" s="5">
        <v>3923</v>
      </c>
      <c r="G504" s="5">
        <v>159</v>
      </c>
      <c r="H504" t="str">
        <f t="shared" si="36"/>
        <v>Invalid</v>
      </c>
      <c r="I504" t="str">
        <f t="shared" si="37"/>
        <v>Valid</v>
      </c>
      <c r="J504" s="5">
        <f t="shared" si="38"/>
        <v>3764</v>
      </c>
      <c r="K504" s="5">
        <f t="shared" si="39"/>
        <v>3965</v>
      </c>
      <c r="L504" s="5">
        <f>IF(Table1[[#This Row],[Total_System_Load]]&gt;80%*AVERAGE(Table1[Total_System_Load]),Table1[[#This Row],[Total_System_Load]]-Table1[[#This Row],[Total_Children_Under_Care]],0)</f>
        <v>0</v>
      </c>
      <c r="M504" s="5">
        <f t="shared" si="35"/>
        <v>-112</v>
      </c>
      <c r="N504" s="5">
        <f>M505-Table1[[#This Row],[Net_Daily_Intake]]</f>
        <v>-15</v>
      </c>
      <c r="O504" s="5">
        <f>M505-Table1[[#This Row],[Net_Daily_Intake]]/Table1[[#This Row],[Net_Daily_Intake]]</f>
        <v>-128</v>
      </c>
      <c r="P504" t="str">
        <f>IF(Table1[[#This Row],[Change_in_Net_Daily_Intake]]&gt;0,"Sustained Positive","Negative")</f>
        <v>Negative</v>
      </c>
      <c r="Q504" s="1">
        <f>(Table1[[#This Row],[Total_System_Load]]-Table1[[#This Row],[Total_Children_Under_Care]])/Table1[[#This Row],[Total_Children_Under_Care]]*100</f>
        <v>5.340063761955367</v>
      </c>
      <c r="R504" s="1">
        <f>(Table1[[#This Row],[Children_discharged _from_HHS_ Care]]/Table1[[#This Row],[Children_transferred_out_of_CBP_custody]])</f>
        <v>3.3829787234042552</v>
      </c>
    </row>
    <row r="505" spans="1:18" x14ac:dyDescent="0.3">
      <c r="A505">
        <v>504</v>
      </c>
      <c r="B505" s="7">
        <v>45690</v>
      </c>
      <c r="C505" s="5">
        <v>20</v>
      </c>
      <c r="D505" s="5">
        <v>22</v>
      </c>
      <c r="E505" s="5">
        <v>41</v>
      </c>
      <c r="F505" s="5">
        <v>3483</v>
      </c>
      <c r="G505" s="5">
        <v>168</v>
      </c>
      <c r="H505" t="str">
        <f t="shared" si="36"/>
        <v>Invalid</v>
      </c>
      <c r="I505" t="str">
        <f t="shared" si="37"/>
        <v>Valid</v>
      </c>
      <c r="J505" s="5">
        <f t="shared" si="38"/>
        <v>3315</v>
      </c>
      <c r="K505" s="5">
        <f t="shared" si="39"/>
        <v>3505</v>
      </c>
      <c r="L505" s="5">
        <f>IF(Table1[[#This Row],[Total_System_Load]]&gt;80%*AVERAGE(Table1[Total_System_Load]),Table1[[#This Row],[Total_System_Load]]-Table1[[#This Row],[Total_Children_Under_Care]],0)</f>
        <v>0</v>
      </c>
      <c r="M505" s="5">
        <f t="shared" si="35"/>
        <v>-127</v>
      </c>
      <c r="N505" s="5">
        <f>M506-Table1[[#This Row],[Net_Daily_Intake]]</f>
        <v>36</v>
      </c>
      <c r="O505" s="5">
        <f>M506-Table1[[#This Row],[Net_Daily_Intake]]/Table1[[#This Row],[Net_Daily_Intake]]</f>
        <v>-92</v>
      </c>
      <c r="P505" t="str">
        <f>IF(Table1[[#This Row],[Change_in_Net_Daily_Intake]]&gt;0,"Sustained Positive","Negative")</f>
        <v>Sustained Positive</v>
      </c>
      <c r="Q505" s="1">
        <f>(Table1[[#This Row],[Total_System_Load]]-Table1[[#This Row],[Total_Children_Under_Care]])/Table1[[#This Row],[Total_Children_Under_Care]]*100</f>
        <v>5.7315233785822022</v>
      </c>
      <c r="R505" s="1">
        <f>(Table1[[#This Row],[Children_discharged _from_HHS_ Care]]/Table1[[#This Row],[Children_transferred_out_of_CBP_custody]])</f>
        <v>4.0975609756097562</v>
      </c>
    </row>
    <row r="506" spans="1:18" x14ac:dyDescent="0.3">
      <c r="A506">
        <v>505</v>
      </c>
      <c r="B506" s="7">
        <v>45691</v>
      </c>
      <c r="C506" s="5">
        <v>23</v>
      </c>
      <c r="D506" s="5">
        <v>45</v>
      </c>
      <c r="E506" s="5">
        <v>11</v>
      </c>
      <c r="F506" s="5">
        <v>3403</v>
      </c>
      <c r="G506" s="5">
        <v>102</v>
      </c>
      <c r="H506" t="str">
        <f t="shared" si="36"/>
        <v>Valid</v>
      </c>
      <c r="I506" t="str">
        <f t="shared" si="37"/>
        <v>Valid</v>
      </c>
      <c r="J506" s="5">
        <f t="shared" si="38"/>
        <v>3301</v>
      </c>
      <c r="K506" s="5">
        <f t="shared" si="39"/>
        <v>3448</v>
      </c>
      <c r="L506" s="5">
        <f>IF(Table1[[#This Row],[Total_System_Load]]&gt;80%*AVERAGE(Table1[Total_System_Load]),Table1[[#This Row],[Total_System_Load]]-Table1[[#This Row],[Total_Children_Under_Care]],0)</f>
        <v>0</v>
      </c>
      <c r="M506" s="5">
        <f t="shared" si="35"/>
        <v>-91</v>
      </c>
      <c r="N506" s="5">
        <f>M507-Table1[[#This Row],[Net_Daily_Intake]]</f>
        <v>46</v>
      </c>
      <c r="O506" s="5">
        <f>M507-Table1[[#This Row],[Net_Daily_Intake]]/Table1[[#This Row],[Net_Daily_Intake]]</f>
        <v>-46</v>
      </c>
      <c r="P506" t="str">
        <f>IF(Table1[[#This Row],[Change_in_Net_Daily_Intake]]&gt;0,"Sustained Positive","Negative")</f>
        <v>Sustained Positive</v>
      </c>
      <c r="Q506" s="1">
        <f>(Table1[[#This Row],[Total_System_Load]]-Table1[[#This Row],[Total_Children_Under_Care]])/Table1[[#This Row],[Total_Children_Under_Care]]*100</f>
        <v>4.4531960012117535</v>
      </c>
      <c r="R506" s="1">
        <f>(Table1[[#This Row],[Children_discharged _from_HHS_ Care]]/Table1[[#This Row],[Children_transferred_out_of_CBP_custody]])</f>
        <v>9.2727272727272734</v>
      </c>
    </row>
    <row r="507" spans="1:18" x14ac:dyDescent="0.3">
      <c r="A507">
        <v>506</v>
      </c>
      <c r="B507" s="7">
        <v>45692</v>
      </c>
      <c r="C507" s="5">
        <v>34</v>
      </c>
      <c r="D507" s="5">
        <v>54</v>
      </c>
      <c r="E507" s="5">
        <v>29</v>
      </c>
      <c r="F507" s="5">
        <v>3359</v>
      </c>
      <c r="G507" s="5">
        <v>74</v>
      </c>
      <c r="H507" t="str">
        <f t="shared" si="36"/>
        <v>Valid</v>
      </c>
      <c r="I507" t="str">
        <f t="shared" si="37"/>
        <v>Valid</v>
      </c>
      <c r="J507" s="5">
        <f t="shared" si="38"/>
        <v>3285</v>
      </c>
      <c r="K507" s="5">
        <f t="shared" si="39"/>
        <v>3413</v>
      </c>
      <c r="L507" s="5">
        <f>IF(Table1[[#This Row],[Total_System_Load]]&gt;80%*AVERAGE(Table1[Total_System_Load]),Table1[[#This Row],[Total_System_Load]]-Table1[[#This Row],[Total_Children_Under_Care]],0)</f>
        <v>0</v>
      </c>
      <c r="M507" s="5">
        <f t="shared" si="35"/>
        <v>-45</v>
      </c>
      <c r="N507" s="5">
        <f>M508-Table1[[#This Row],[Net_Daily_Intake]]</f>
        <v>-23</v>
      </c>
      <c r="O507" s="5">
        <f>M508-Table1[[#This Row],[Net_Daily_Intake]]/Table1[[#This Row],[Net_Daily_Intake]]</f>
        <v>-69</v>
      </c>
      <c r="P507" t="str">
        <f>IF(Table1[[#This Row],[Change_in_Net_Daily_Intake]]&gt;0,"Sustained Positive","Negative")</f>
        <v>Negative</v>
      </c>
      <c r="Q507" s="1">
        <f>(Table1[[#This Row],[Total_System_Load]]-Table1[[#This Row],[Total_Children_Under_Care]])/Table1[[#This Row],[Total_Children_Under_Care]]*100</f>
        <v>3.8964992389649926</v>
      </c>
      <c r="R507" s="1">
        <f>(Table1[[#This Row],[Children_discharged _from_HHS_ Care]]/Table1[[#This Row],[Children_transferred_out_of_CBP_custody]])</f>
        <v>2.5517241379310347</v>
      </c>
    </row>
    <row r="508" spans="1:18" x14ac:dyDescent="0.3">
      <c r="A508">
        <v>507</v>
      </c>
      <c r="B508" s="7">
        <v>45693</v>
      </c>
      <c r="C508" s="5">
        <v>26</v>
      </c>
      <c r="D508" s="5">
        <v>36</v>
      </c>
      <c r="E508" s="5">
        <v>36</v>
      </c>
      <c r="F508" s="5">
        <v>3290</v>
      </c>
      <c r="G508" s="5">
        <v>104</v>
      </c>
      <c r="H508" t="str">
        <f t="shared" si="36"/>
        <v>Valid</v>
      </c>
      <c r="I508" t="str">
        <f t="shared" si="37"/>
        <v>Valid</v>
      </c>
      <c r="J508" s="5">
        <f t="shared" si="38"/>
        <v>3186</v>
      </c>
      <c r="K508" s="5">
        <f t="shared" si="39"/>
        <v>3326</v>
      </c>
      <c r="L508" s="5">
        <f>IF(Table1[[#This Row],[Total_System_Load]]&gt;80%*AVERAGE(Table1[Total_System_Load]),Table1[[#This Row],[Total_System_Load]]-Table1[[#This Row],[Total_Children_Under_Care]],0)</f>
        <v>0</v>
      </c>
      <c r="M508" s="5">
        <f t="shared" si="35"/>
        <v>-68</v>
      </c>
      <c r="N508" s="5">
        <f>M509-Table1[[#This Row],[Net_Daily_Intake]]</f>
        <v>-50</v>
      </c>
      <c r="O508" s="5">
        <f>M509-Table1[[#This Row],[Net_Daily_Intake]]/Table1[[#This Row],[Net_Daily_Intake]]</f>
        <v>-119</v>
      </c>
      <c r="P508" t="str">
        <f>IF(Table1[[#This Row],[Change_in_Net_Daily_Intake]]&gt;0,"Sustained Positive","Negative")</f>
        <v>Negative</v>
      </c>
      <c r="Q508" s="1">
        <f>(Table1[[#This Row],[Total_System_Load]]-Table1[[#This Row],[Total_Children_Under_Care]])/Table1[[#This Row],[Total_Children_Under_Care]]*100</f>
        <v>4.3942247332077837</v>
      </c>
      <c r="R508" s="1">
        <f>(Table1[[#This Row],[Children_discharged _from_HHS_ Care]]/Table1[[#This Row],[Children_transferred_out_of_CBP_custody]])</f>
        <v>2.8888888888888888</v>
      </c>
    </row>
    <row r="509" spans="1:18" x14ac:dyDescent="0.3">
      <c r="A509">
        <v>508</v>
      </c>
      <c r="B509" s="7">
        <v>45694</v>
      </c>
      <c r="C509" s="5">
        <v>25</v>
      </c>
      <c r="D509" s="5">
        <v>32</v>
      </c>
      <c r="E509" s="5">
        <v>27</v>
      </c>
      <c r="F509" s="5">
        <v>3181</v>
      </c>
      <c r="G509" s="5">
        <v>145</v>
      </c>
      <c r="H509" t="str">
        <f t="shared" si="36"/>
        <v>Valid</v>
      </c>
      <c r="I509" t="str">
        <f t="shared" si="37"/>
        <v>Valid</v>
      </c>
      <c r="J509" s="5">
        <f t="shared" si="38"/>
        <v>3036</v>
      </c>
      <c r="K509" s="5">
        <f t="shared" si="39"/>
        <v>3213</v>
      </c>
      <c r="L509" s="5">
        <f>IF(Table1[[#This Row],[Total_System_Load]]&gt;80%*AVERAGE(Table1[Total_System_Load]),Table1[[#This Row],[Total_System_Load]]-Table1[[#This Row],[Total_Children_Under_Care]],0)</f>
        <v>0</v>
      </c>
      <c r="M509" s="5">
        <f t="shared" si="35"/>
        <v>-118</v>
      </c>
      <c r="N509" s="5">
        <f>M510-Table1[[#This Row],[Net_Daily_Intake]]</f>
        <v>42</v>
      </c>
      <c r="O509" s="5">
        <f>M510-Table1[[#This Row],[Net_Daily_Intake]]/Table1[[#This Row],[Net_Daily_Intake]]</f>
        <v>-77</v>
      </c>
      <c r="P509" t="str">
        <f>IF(Table1[[#This Row],[Change_in_Net_Daily_Intake]]&gt;0,"Sustained Positive","Negative")</f>
        <v>Sustained Positive</v>
      </c>
      <c r="Q509" s="1">
        <f>(Table1[[#This Row],[Total_System_Load]]-Table1[[#This Row],[Total_Children_Under_Care]])/Table1[[#This Row],[Total_Children_Under_Care]]*100</f>
        <v>5.8300395256917001</v>
      </c>
      <c r="R509" s="1">
        <f>(Table1[[#This Row],[Children_discharged _from_HHS_ Care]]/Table1[[#This Row],[Children_transferred_out_of_CBP_custody]])</f>
        <v>5.3703703703703702</v>
      </c>
    </row>
    <row r="510" spans="1:18" x14ac:dyDescent="0.3">
      <c r="A510">
        <v>509</v>
      </c>
      <c r="B510" s="7">
        <v>45697</v>
      </c>
      <c r="C510" s="5">
        <v>15</v>
      </c>
      <c r="D510" s="5">
        <v>13</v>
      </c>
      <c r="E510" s="5">
        <v>23</v>
      </c>
      <c r="F510" s="5">
        <v>2878</v>
      </c>
      <c r="G510" s="5">
        <v>99</v>
      </c>
      <c r="H510" t="str">
        <f t="shared" si="36"/>
        <v>Invalid</v>
      </c>
      <c r="I510" t="str">
        <f t="shared" si="37"/>
        <v>Valid</v>
      </c>
      <c r="J510" s="5">
        <f t="shared" si="38"/>
        <v>2779</v>
      </c>
      <c r="K510" s="5">
        <f t="shared" si="39"/>
        <v>2891</v>
      </c>
      <c r="L510" s="5">
        <f>IF(Table1[[#This Row],[Total_System_Load]]&gt;80%*AVERAGE(Table1[Total_System_Load]),Table1[[#This Row],[Total_System_Load]]-Table1[[#This Row],[Total_Children_Under_Care]],0)</f>
        <v>0</v>
      </c>
      <c r="M510" s="5">
        <f t="shared" si="35"/>
        <v>-76</v>
      </c>
      <c r="N510" s="5">
        <f>M511-Table1[[#This Row],[Net_Daily_Intake]]</f>
        <v>28</v>
      </c>
      <c r="O510" s="5">
        <f>M511-Table1[[#This Row],[Net_Daily_Intake]]/Table1[[#This Row],[Net_Daily_Intake]]</f>
        <v>-49</v>
      </c>
      <c r="P510" t="str">
        <f>IF(Table1[[#This Row],[Change_in_Net_Daily_Intake]]&gt;0,"Sustained Positive","Negative")</f>
        <v>Sustained Positive</v>
      </c>
      <c r="Q510" s="1">
        <f>(Table1[[#This Row],[Total_System_Load]]-Table1[[#This Row],[Total_Children_Under_Care]])/Table1[[#This Row],[Total_Children_Under_Care]]*100</f>
        <v>4.0302267002518892</v>
      </c>
      <c r="R510" s="1">
        <f>(Table1[[#This Row],[Children_discharged _from_HHS_ Care]]/Table1[[#This Row],[Children_transferred_out_of_CBP_custody]])</f>
        <v>4.3043478260869561</v>
      </c>
    </row>
    <row r="511" spans="1:18" x14ac:dyDescent="0.3">
      <c r="A511">
        <v>510</v>
      </c>
      <c r="B511" s="7">
        <v>45698</v>
      </c>
      <c r="C511" s="5">
        <v>16</v>
      </c>
      <c r="D511" s="5">
        <v>18</v>
      </c>
      <c r="E511" s="5">
        <v>15</v>
      </c>
      <c r="F511" s="5">
        <v>2834</v>
      </c>
      <c r="G511" s="5">
        <v>63</v>
      </c>
      <c r="H511" t="str">
        <f t="shared" si="36"/>
        <v>Valid</v>
      </c>
      <c r="I511" t="str">
        <f t="shared" si="37"/>
        <v>Valid</v>
      </c>
      <c r="J511" s="5">
        <f t="shared" si="38"/>
        <v>2771</v>
      </c>
      <c r="K511" s="5">
        <f t="shared" si="39"/>
        <v>2852</v>
      </c>
      <c r="L511" s="5">
        <f>IF(Table1[[#This Row],[Total_System_Load]]&gt;80%*AVERAGE(Table1[Total_System_Load]),Table1[[#This Row],[Total_System_Load]]-Table1[[#This Row],[Total_Children_Under_Care]],0)</f>
        <v>0</v>
      </c>
      <c r="M511" s="5">
        <f t="shared" si="35"/>
        <v>-48</v>
      </c>
      <c r="N511" s="5">
        <f>M512-Table1[[#This Row],[Net_Daily_Intake]]</f>
        <v>10</v>
      </c>
      <c r="O511" s="5">
        <f>M512-Table1[[#This Row],[Net_Daily_Intake]]/Table1[[#This Row],[Net_Daily_Intake]]</f>
        <v>-39</v>
      </c>
      <c r="P511" t="str">
        <f>IF(Table1[[#This Row],[Change_in_Net_Daily_Intake]]&gt;0,"Sustained Positive","Negative")</f>
        <v>Sustained Positive</v>
      </c>
      <c r="Q511" s="1">
        <f>(Table1[[#This Row],[Total_System_Load]]-Table1[[#This Row],[Total_Children_Under_Care]])/Table1[[#This Row],[Total_Children_Under_Care]]*100</f>
        <v>2.9231324431613137</v>
      </c>
      <c r="R511" s="1">
        <f>(Table1[[#This Row],[Children_discharged _from_HHS_ Care]]/Table1[[#This Row],[Children_transferred_out_of_CBP_custody]])</f>
        <v>4.2</v>
      </c>
    </row>
    <row r="512" spans="1:18" x14ac:dyDescent="0.3">
      <c r="A512">
        <v>511</v>
      </c>
      <c r="B512" s="7">
        <v>45699</v>
      </c>
      <c r="C512" s="5">
        <v>11</v>
      </c>
      <c r="D512" s="5">
        <v>22</v>
      </c>
      <c r="E512" s="5">
        <v>12</v>
      </c>
      <c r="F512" s="5">
        <v>2799</v>
      </c>
      <c r="G512" s="5">
        <v>50</v>
      </c>
      <c r="H512" t="str">
        <f t="shared" si="36"/>
        <v>Valid</v>
      </c>
      <c r="I512" t="str">
        <f t="shared" si="37"/>
        <v>Valid</v>
      </c>
      <c r="J512" s="5">
        <f t="shared" si="38"/>
        <v>2749</v>
      </c>
      <c r="K512" s="5">
        <f t="shared" si="39"/>
        <v>2821</v>
      </c>
      <c r="L512" s="5">
        <f>IF(Table1[[#This Row],[Total_System_Load]]&gt;80%*AVERAGE(Table1[Total_System_Load]),Table1[[#This Row],[Total_System_Load]]-Table1[[#This Row],[Total_Children_Under_Care]],0)</f>
        <v>0</v>
      </c>
      <c r="M512" s="5">
        <f t="shared" si="35"/>
        <v>-38</v>
      </c>
      <c r="N512" s="5">
        <f>M513-Table1[[#This Row],[Net_Daily_Intake]]</f>
        <v>-8</v>
      </c>
      <c r="O512" s="5">
        <f>M513-Table1[[#This Row],[Net_Daily_Intake]]/Table1[[#This Row],[Net_Daily_Intake]]</f>
        <v>-47</v>
      </c>
      <c r="P512" t="str">
        <f>IF(Table1[[#This Row],[Change_in_Net_Daily_Intake]]&gt;0,"Sustained Positive","Negative")</f>
        <v>Negative</v>
      </c>
      <c r="Q512" s="1">
        <f>(Table1[[#This Row],[Total_System_Load]]-Table1[[#This Row],[Total_Children_Under_Care]])/Table1[[#This Row],[Total_Children_Under_Care]]*100</f>
        <v>2.6191342306293199</v>
      </c>
      <c r="R512" s="1">
        <f>(Table1[[#This Row],[Children_discharged _from_HHS_ Care]]/Table1[[#This Row],[Children_transferred_out_of_CBP_custody]])</f>
        <v>4.166666666666667</v>
      </c>
    </row>
    <row r="513" spans="1:18" x14ac:dyDescent="0.3">
      <c r="A513">
        <v>512</v>
      </c>
      <c r="B513" s="7">
        <v>45700</v>
      </c>
      <c r="C513" s="5">
        <v>16</v>
      </c>
      <c r="D513" s="5">
        <v>20</v>
      </c>
      <c r="E513" s="5">
        <v>20</v>
      </c>
      <c r="F513" s="5">
        <v>2752</v>
      </c>
      <c r="G513" s="5">
        <v>66</v>
      </c>
      <c r="H513" t="str">
        <f t="shared" si="36"/>
        <v>Valid</v>
      </c>
      <c r="I513" t="str">
        <f t="shared" si="37"/>
        <v>Valid</v>
      </c>
      <c r="J513" s="5">
        <f t="shared" si="38"/>
        <v>2686</v>
      </c>
      <c r="K513" s="5">
        <f t="shared" si="39"/>
        <v>2772</v>
      </c>
      <c r="L513" s="5">
        <f>IF(Table1[[#This Row],[Total_System_Load]]&gt;80%*AVERAGE(Table1[Total_System_Load]),Table1[[#This Row],[Total_System_Load]]-Table1[[#This Row],[Total_Children_Under_Care]],0)</f>
        <v>0</v>
      </c>
      <c r="M513" s="5">
        <f t="shared" si="35"/>
        <v>-46</v>
      </c>
      <c r="N513" s="5">
        <f>M514-Table1[[#This Row],[Net_Daily_Intake]]</f>
        <v>-3</v>
      </c>
      <c r="O513" s="5">
        <f>M514-Table1[[#This Row],[Net_Daily_Intake]]/Table1[[#This Row],[Net_Daily_Intake]]</f>
        <v>-50</v>
      </c>
      <c r="P513" t="str">
        <f>IF(Table1[[#This Row],[Change_in_Net_Daily_Intake]]&gt;0,"Sustained Positive","Negative")</f>
        <v>Negative</v>
      </c>
      <c r="Q513" s="1">
        <f>(Table1[[#This Row],[Total_System_Load]]-Table1[[#This Row],[Total_Children_Under_Care]])/Table1[[#This Row],[Total_Children_Under_Care]]*100</f>
        <v>3.2017870439314962</v>
      </c>
      <c r="R513" s="1">
        <f>(Table1[[#This Row],[Children_discharged _from_HHS_ Care]]/Table1[[#This Row],[Children_transferred_out_of_CBP_custody]])</f>
        <v>3.3</v>
      </c>
    </row>
    <row r="514" spans="1:18" x14ac:dyDescent="0.3">
      <c r="A514">
        <v>513</v>
      </c>
      <c r="B514" s="7">
        <v>45701</v>
      </c>
      <c r="C514" s="5">
        <v>15</v>
      </c>
      <c r="D514" s="5">
        <v>10</v>
      </c>
      <c r="E514" s="5">
        <v>23</v>
      </c>
      <c r="F514" s="5">
        <v>2703</v>
      </c>
      <c r="G514" s="5">
        <v>72</v>
      </c>
      <c r="H514" t="str">
        <f t="shared" si="36"/>
        <v>Invalid</v>
      </c>
      <c r="I514" t="str">
        <f t="shared" si="37"/>
        <v>Valid</v>
      </c>
      <c r="J514" s="5">
        <f t="shared" si="38"/>
        <v>2631</v>
      </c>
      <c r="K514" s="5">
        <f t="shared" si="39"/>
        <v>2713</v>
      </c>
      <c r="L514" s="5">
        <f>IF(Table1[[#This Row],[Total_System_Load]]&gt;80%*AVERAGE(Table1[Total_System_Load]),Table1[[#This Row],[Total_System_Load]]-Table1[[#This Row],[Total_Children_Under_Care]],0)</f>
        <v>0</v>
      </c>
      <c r="M514" s="5">
        <f t="shared" ref="M514:M577" si="40">E514-G514</f>
        <v>-49</v>
      </c>
      <c r="N514" s="5">
        <f>M515-Table1[[#This Row],[Net_Daily_Intake]]</f>
        <v>48</v>
      </c>
      <c r="O514" s="5">
        <f>M515-Table1[[#This Row],[Net_Daily_Intake]]/Table1[[#This Row],[Net_Daily_Intake]]</f>
        <v>-2</v>
      </c>
      <c r="P514" t="str">
        <f>IF(Table1[[#This Row],[Change_in_Net_Daily_Intake]]&gt;0,"Sustained Positive","Negative")</f>
        <v>Sustained Positive</v>
      </c>
      <c r="Q514" s="1">
        <f>(Table1[[#This Row],[Total_System_Load]]-Table1[[#This Row],[Total_Children_Under_Care]])/Table1[[#This Row],[Total_Children_Under_Care]]*100</f>
        <v>3.1166856708475863</v>
      </c>
      <c r="R514" s="1">
        <f>(Table1[[#This Row],[Children_discharged _from_HHS_ Care]]/Table1[[#This Row],[Children_transferred_out_of_CBP_custody]])</f>
        <v>3.1304347826086958</v>
      </c>
    </row>
    <row r="515" spans="1:18" x14ac:dyDescent="0.3">
      <c r="A515">
        <v>514</v>
      </c>
      <c r="B515" s="7">
        <v>45705</v>
      </c>
      <c r="C515" s="5">
        <v>8</v>
      </c>
      <c r="D515" s="5">
        <v>17</v>
      </c>
      <c r="E515" s="5">
        <v>14</v>
      </c>
      <c r="F515" s="5">
        <v>2532</v>
      </c>
      <c r="G515" s="5">
        <v>15</v>
      </c>
      <c r="H515" t="str">
        <f t="shared" ref="H515:H578" si="41">IF(E515&lt;=D515,"Valid","Invalid")</f>
        <v>Valid</v>
      </c>
      <c r="I515" t="str">
        <f t="shared" ref="I515:I578" si="42">IF(G515&lt;=F515,"Valid","Invalid")</f>
        <v>Valid</v>
      </c>
      <c r="J515" s="5">
        <f t="shared" ref="J515:J578" si="43">F515-G515</f>
        <v>2517</v>
      </c>
      <c r="K515" s="5">
        <f t="shared" ref="K515:K578" si="44">D515+F515</f>
        <v>2549</v>
      </c>
      <c r="L515" s="5">
        <f>IF(Table1[[#This Row],[Total_System_Load]]&gt;80%*AVERAGE(Table1[Total_System_Load]),Table1[[#This Row],[Total_System_Load]]-Table1[[#This Row],[Total_Children_Under_Care]],0)</f>
        <v>0</v>
      </c>
      <c r="M515" s="5">
        <f t="shared" si="40"/>
        <v>-1</v>
      </c>
      <c r="N515" s="5">
        <f>M516-Table1[[#This Row],[Net_Daily_Intake]]</f>
        <v>3</v>
      </c>
      <c r="O515" s="5">
        <f>M516-Table1[[#This Row],[Net_Daily_Intake]]/Table1[[#This Row],[Net_Daily_Intake]]</f>
        <v>1</v>
      </c>
      <c r="P515" t="str">
        <f>IF(Table1[[#This Row],[Change_in_Net_Daily_Intake]]&gt;0,"Sustained Positive","Negative")</f>
        <v>Sustained Positive</v>
      </c>
      <c r="Q515" s="1">
        <f>(Table1[[#This Row],[Total_System_Load]]-Table1[[#This Row],[Total_Children_Under_Care]])/Table1[[#This Row],[Total_Children_Under_Care]]*100</f>
        <v>1.2713547874453714</v>
      </c>
      <c r="R515" s="1">
        <f>(Table1[[#This Row],[Children_discharged _from_HHS_ Care]]/Table1[[#This Row],[Children_transferred_out_of_CBP_custody]])</f>
        <v>1.0714285714285714</v>
      </c>
    </row>
    <row r="516" spans="1:18" x14ac:dyDescent="0.3">
      <c r="A516">
        <v>515</v>
      </c>
      <c r="B516" s="7">
        <v>45706</v>
      </c>
      <c r="C516" s="5">
        <v>18</v>
      </c>
      <c r="D516" s="5">
        <v>19</v>
      </c>
      <c r="E516" s="5">
        <v>11</v>
      </c>
      <c r="F516" s="5">
        <v>2536</v>
      </c>
      <c r="G516" s="5">
        <v>9</v>
      </c>
      <c r="H516" t="str">
        <f t="shared" si="41"/>
        <v>Valid</v>
      </c>
      <c r="I516" t="str">
        <f t="shared" si="42"/>
        <v>Valid</v>
      </c>
      <c r="J516" s="5">
        <f t="shared" si="43"/>
        <v>2527</v>
      </c>
      <c r="K516" s="5">
        <f t="shared" si="44"/>
        <v>2555</v>
      </c>
      <c r="L516" s="5">
        <f>IF(Table1[[#This Row],[Total_System_Load]]&gt;80%*AVERAGE(Table1[Total_System_Load]),Table1[[#This Row],[Total_System_Load]]-Table1[[#This Row],[Total_Children_Under_Care]],0)</f>
        <v>0</v>
      </c>
      <c r="M516" s="5">
        <f t="shared" si="40"/>
        <v>2</v>
      </c>
      <c r="N516" s="5">
        <f>M517-Table1[[#This Row],[Net_Daily_Intake]]</f>
        <v>-4</v>
      </c>
      <c r="O516" s="5">
        <f>M517-Table1[[#This Row],[Net_Daily_Intake]]/Table1[[#This Row],[Net_Daily_Intake]]</f>
        <v>-3</v>
      </c>
      <c r="P516" t="str">
        <f>IF(Table1[[#This Row],[Change_in_Net_Daily_Intake]]&gt;0,"Sustained Positive","Negative")</f>
        <v>Negative</v>
      </c>
      <c r="Q516" s="1">
        <f>(Table1[[#This Row],[Total_System_Load]]-Table1[[#This Row],[Total_Children_Under_Care]])/Table1[[#This Row],[Total_Children_Under_Care]]*100</f>
        <v>1.10803324099723</v>
      </c>
      <c r="R516" s="1">
        <f>(Table1[[#This Row],[Children_discharged _from_HHS_ Care]]/Table1[[#This Row],[Children_transferred_out_of_CBP_custody]])</f>
        <v>0.81818181818181823</v>
      </c>
    </row>
    <row r="517" spans="1:18" x14ac:dyDescent="0.3">
      <c r="A517">
        <v>516</v>
      </c>
      <c r="B517" s="7">
        <v>45707</v>
      </c>
      <c r="C517" s="5">
        <v>12</v>
      </c>
      <c r="D517" s="5">
        <v>17</v>
      </c>
      <c r="E517" s="5">
        <v>17</v>
      </c>
      <c r="F517" s="5">
        <v>2528</v>
      </c>
      <c r="G517" s="5">
        <v>19</v>
      </c>
      <c r="H517" t="str">
        <f t="shared" si="41"/>
        <v>Valid</v>
      </c>
      <c r="I517" t="str">
        <f t="shared" si="42"/>
        <v>Valid</v>
      </c>
      <c r="J517" s="5">
        <f t="shared" si="43"/>
        <v>2509</v>
      </c>
      <c r="K517" s="5">
        <f t="shared" si="44"/>
        <v>2545</v>
      </c>
      <c r="L517" s="5">
        <f>IF(Table1[[#This Row],[Total_System_Load]]&gt;80%*AVERAGE(Table1[Total_System_Load]),Table1[[#This Row],[Total_System_Load]]-Table1[[#This Row],[Total_Children_Under_Care]],0)</f>
        <v>0</v>
      </c>
      <c r="M517" s="5">
        <f t="shared" si="40"/>
        <v>-2</v>
      </c>
      <c r="N517" s="5">
        <f>M518-Table1[[#This Row],[Net_Daily_Intake]]</f>
        <v>-15</v>
      </c>
      <c r="O517" s="5">
        <f>M518-Table1[[#This Row],[Net_Daily_Intake]]/Table1[[#This Row],[Net_Daily_Intake]]</f>
        <v>-18</v>
      </c>
      <c r="P517" t="str">
        <f>IF(Table1[[#This Row],[Change_in_Net_Daily_Intake]]&gt;0,"Sustained Positive","Negative")</f>
        <v>Negative</v>
      </c>
      <c r="Q517" s="1">
        <f>(Table1[[#This Row],[Total_System_Load]]-Table1[[#This Row],[Total_Children_Under_Care]])/Table1[[#This Row],[Total_Children_Under_Care]]*100</f>
        <v>1.4348345954563571</v>
      </c>
      <c r="R517" s="1">
        <f>(Table1[[#This Row],[Children_discharged _from_HHS_ Care]]/Table1[[#This Row],[Children_transferred_out_of_CBP_custody]])</f>
        <v>1.1176470588235294</v>
      </c>
    </row>
    <row r="518" spans="1:18" x14ac:dyDescent="0.3">
      <c r="A518">
        <v>517</v>
      </c>
      <c r="B518" s="7">
        <v>45708</v>
      </c>
      <c r="C518" s="5">
        <v>13</v>
      </c>
      <c r="D518" s="5">
        <v>25</v>
      </c>
      <c r="E518" s="5">
        <v>15</v>
      </c>
      <c r="F518" s="5">
        <v>2520</v>
      </c>
      <c r="G518" s="5">
        <v>32</v>
      </c>
      <c r="H518" t="str">
        <f t="shared" si="41"/>
        <v>Valid</v>
      </c>
      <c r="I518" t="str">
        <f t="shared" si="42"/>
        <v>Valid</v>
      </c>
      <c r="J518" s="5">
        <f t="shared" si="43"/>
        <v>2488</v>
      </c>
      <c r="K518" s="5">
        <f t="shared" si="44"/>
        <v>2545</v>
      </c>
      <c r="L518" s="5">
        <f>IF(Table1[[#This Row],[Total_System_Load]]&gt;80%*AVERAGE(Table1[Total_System_Load]),Table1[[#This Row],[Total_System_Load]]-Table1[[#This Row],[Total_Children_Under_Care]],0)</f>
        <v>0</v>
      </c>
      <c r="M518" s="5">
        <f t="shared" si="40"/>
        <v>-17</v>
      </c>
      <c r="N518" s="5">
        <f>M519-Table1[[#This Row],[Net_Daily_Intake]]</f>
        <v>-10</v>
      </c>
      <c r="O518" s="5">
        <f>M519-Table1[[#This Row],[Net_Daily_Intake]]/Table1[[#This Row],[Net_Daily_Intake]]</f>
        <v>-28</v>
      </c>
      <c r="P518" t="str">
        <f>IF(Table1[[#This Row],[Change_in_Net_Daily_Intake]]&gt;0,"Sustained Positive","Negative")</f>
        <v>Negative</v>
      </c>
      <c r="Q518" s="1">
        <f>(Table1[[#This Row],[Total_System_Load]]-Table1[[#This Row],[Total_Children_Under_Care]])/Table1[[#This Row],[Total_Children_Under_Care]]*100</f>
        <v>2.2909967845659165</v>
      </c>
      <c r="R518" s="1">
        <f>(Table1[[#This Row],[Children_discharged _from_HHS_ Care]]/Table1[[#This Row],[Children_transferred_out_of_CBP_custody]])</f>
        <v>2.1333333333333333</v>
      </c>
    </row>
    <row r="519" spans="1:18" x14ac:dyDescent="0.3">
      <c r="A519">
        <v>518</v>
      </c>
      <c r="B519" s="7">
        <v>45711</v>
      </c>
      <c r="C519" s="5">
        <v>7</v>
      </c>
      <c r="D519" s="5">
        <v>16</v>
      </c>
      <c r="E519" s="5">
        <v>8</v>
      </c>
      <c r="F519" s="5">
        <v>2423</v>
      </c>
      <c r="G519" s="5">
        <v>35</v>
      </c>
      <c r="H519" t="str">
        <f t="shared" si="41"/>
        <v>Valid</v>
      </c>
      <c r="I519" t="str">
        <f t="shared" si="42"/>
        <v>Valid</v>
      </c>
      <c r="J519" s="5">
        <f t="shared" si="43"/>
        <v>2388</v>
      </c>
      <c r="K519" s="5">
        <f t="shared" si="44"/>
        <v>2439</v>
      </c>
      <c r="L519" s="5">
        <f>IF(Table1[[#This Row],[Total_System_Load]]&gt;80%*AVERAGE(Table1[Total_System_Load]),Table1[[#This Row],[Total_System_Load]]-Table1[[#This Row],[Total_Children_Under_Care]],0)</f>
        <v>0</v>
      </c>
      <c r="M519" s="5">
        <f t="shared" si="40"/>
        <v>-27</v>
      </c>
      <c r="N519" s="5">
        <f>M520-Table1[[#This Row],[Net_Daily_Intake]]</f>
        <v>17</v>
      </c>
      <c r="O519" s="5">
        <f>M520-Table1[[#This Row],[Net_Daily_Intake]]/Table1[[#This Row],[Net_Daily_Intake]]</f>
        <v>-11</v>
      </c>
      <c r="P519" t="str">
        <f>IF(Table1[[#This Row],[Change_in_Net_Daily_Intake]]&gt;0,"Sustained Positive","Negative")</f>
        <v>Sustained Positive</v>
      </c>
      <c r="Q519" s="1">
        <f>(Table1[[#This Row],[Total_System_Load]]-Table1[[#This Row],[Total_Children_Under_Care]])/Table1[[#This Row],[Total_Children_Under_Care]]*100</f>
        <v>2.1356783919597988</v>
      </c>
      <c r="R519" s="1">
        <f>(Table1[[#This Row],[Children_discharged _from_HHS_ Care]]/Table1[[#This Row],[Children_transferred_out_of_CBP_custody]])</f>
        <v>4.375</v>
      </c>
    </row>
    <row r="520" spans="1:18" x14ac:dyDescent="0.3">
      <c r="A520">
        <v>519</v>
      </c>
      <c r="B520" s="7">
        <v>45712</v>
      </c>
      <c r="C520" s="5">
        <v>20</v>
      </c>
      <c r="D520" s="5">
        <v>22</v>
      </c>
      <c r="E520" s="5">
        <v>14</v>
      </c>
      <c r="F520" s="5">
        <v>2413</v>
      </c>
      <c r="G520" s="5">
        <v>24</v>
      </c>
      <c r="H520" t="str">
        <f t="shared" si="41"/>
        <v>Valid</v>
      </c>
      <c r="I520" t="str">
        <f t="shared" si="42"/>
        <v>Valid</v>
      </c>
      <c r="J520" s="5">
        <f t="shared" si="43"/>
        <v>2389</v>
      </c>
      <c r="K520" s="5">
        <f t="shared" si="44"/>
        <v>2435</v>
      </c>
      <c r="L520" s="5">
        <f>IF(Table1[[#This Row],[Total_System_Load]]&gt;80%*AVERAGE(Table1[Total_System_Load]),Table1[[#This Row],[Total_System_Load]]-Table1[[#This Row],[Total_Children_Under_Care]],0)</f>
        <v>0</v>
      </c>
      <c r="M520" s="5">
        <f t="shared" si="40"/>
        <v>-10</v>
      </c>
      <c r="N520" s="5">
        <f>M521-Table1[[#This Row],[Net_Daily_Intake]]</f>
        <v>-6</v>
      </c>
      <c r="O520" s="5">
        <f>M521-Table1[[#This Row],[Net_Daily_Intake]]/Table1[[#This Row],[Net_Daily_Intake]]</f>
        <v>-17</v>
      </c>
      <c r="P520" t="str">
        <f>IF(Table1[[#This Row],[Change_in_Net_Daily_Intake]]&gt;0,"Sustained Positive","Negative")</f>
        <v>Negative</v>
      </c>
      <c r="Q520" s="1">
        <f>(Table1[[#This Row],[Total_System_Load]]-Table1[[#This Row],[Total_Children_Under_Care]])/Table1[[#This Row],[Total_Children_Under_Care]]*100</f>
        <v>1.9254918375889492</v>
      </c>
      <c r="R520" s="1">
        <f>(Table1[[#This Row],[Children_discharged _from_HHS_ Care]]/Table1[[#This Row],[Children_transferred_out_of_CBP_custody]])</f>
        <v>1.7142857142857142</v>
      </c>
    </row>
    <row r="521" spans="1:18" x14ac:dyDescent="0.3">
      <c r="A521">
        <v>520</v>
      </c>
      <c r="B521" s="7">
        <v>45713</v>
      </c>
      <c r="C521" s="5">
        <v>11</v>
      </c>
      <c r="D521" s="5">
        <v>7</v>
      </c>
      <c r="E521" s="5">
        <v>7</v>
      </c>
      <c r="F521" s="5">
        <v>2413</v>
      </c>
      <c r="G521" s="5">
        <v>23</v>
      </c>
      <c r="H521" t="str">
        <f t="shared" si="41"/>
        <v>Valid</v>
      </c>
      <c r="I521" t="str">
        <f t="shared" si="42"/>
        <v>Valid</v>
      </c>
      <c r="J521" s="5">
        <f t="shared" si="43"/>
        <v>2390</v>
      </c>
      <c r="K521" s="5">
        <f t="shared" si="44"/>
        <v>2420</v>
      </c>
      <c r="L521" s="5">
        <f>IF(Table1[[#This Row],[Total_System_Load]]&gt;80%*AVERAGE(Table1[Total_System_Load]),Table1[[#This Row],[Total_System_Load]]-Table1[[#This Row],[Total_Children_Under_Care]],0)</f>
        <v>0</v>
      </c>
      <c r="M521" s="5">
        <f t="shared" si="40"/>
        <v>-16</v>
      </c>
      <c r="N521" s="5">
        <f>M522-Table1[[#This Row],[Net_Daily_Intake]]</f>
        <v>-6</v>
      </c>
      <c r="O521" s="5">
        <f>M522-Table1[[#This Row],[Net_Daily_Intake]]/Table1[[#This Row],[Net_Daily_Intake]]</f>
        <v>-23</v>
      </c>
      <c r="P521" t="str">
        <f>IF(Table1[[#This Row],[Change_in_Net_Daily_Intake]]&gt;0,"Sustained Positive","Negative")</f>
        <v>Negative</v>
      </c>
      <c r="Q521" s="1">
        <f>(Table1[[#This Row],[Total_System_Load]]-Table1[[#This Row],[Total_Children_Under_Care]])/Table1[[#This Row],[Total_Children_Under_Care]]*100</f>
        <v>1.2552301255230125</v>
      </c>
      <c r="R521" s="1">
        <f>(Table1[[#This Row],[Children_discharged _from_HHS_ Care]]/Table1[[#This Row],[Children_transferred_out_of_CBP_custody]])</f>
        <v>3.2857142857142856</v>
      </c>
    </row>
    <row r="522" spans="1:18" x14ac:dyDescent="0.3">
      <c r="A522">
        <v>521</v>
      </c>
      <c r="B522" s="7">
        <v>45714</v>
      </c>
      <c r="C522" s="5">
        <v>12</v>
      </c>
      <c r="D522" s="5">
        <v>21</v>
      </c>
      <c r="E522" s="5">
        <v>1</v>
      </c>
      <c r="F522" s="5">
        <v>2411</v>
      </c>
      <c r="G522" s="5">
        <v>23</v>
      </c>
      <c r="H522" t="str">
        <f t="shared" si="41"/>
        <v>Valid</v>
      </c>
      <c r="I522" t="str">
        <f t="shared" si="42"/>
        <v>Valid</v>
      </c>
      <c r="J522" s="5">
        <f t="shared" si="43"/>
        <v>2388</v>
      </c>
      <c r="K522" s="5">
        <f t="shared" si="44"/>
        <v>2432</v>
      </c>
      <c r="L522" s="5">
        <f>IF(Table1[[#This Row],[Total_System_Load]]&gt;80%*AVERAGE(Table1[Total_System_Load]),Table1[[#This Row],[Total_System_Load]]-Table1[[#This Row],[Total_Children_Under_Care]],0)</f>
        <v>0</v>
      </c>
      <c r="M522" s="5">
        <f t="shared" si="40"/>
        <v>-22</v>
      </c>
      <c r="N522" s="5">
        <f>M523-Table1[[#This Row],[Net_Daily_Intake]]</f>
        <v>2</v>
      </c>
      <c r="O522" s="5">
        <f>M523-Table1[[#This Row],[Net_Daily_Intake]]/Table1[[#This Row],[Net_Daily_Intake]]</f>
        <v>-21</v>
      </c>
      <c r="P522" t="str">
        <f>IF(Table1[[#This Row],[Change_in_Net_Daily_Intake]]&gt;0,"Sustained Positive","Negative")</f>
        <v>Sustained Positive</v>
      </c>
      <c r="Q522" s="1">
        <f>(Table1[[#This Row],[Total_System_Load]]-Table1[[#This Row],[Total_Children_Under_Care]])/Table1[[#This Row],[Total_Children_Under_Care]]*100</f>
        <v>1.8425460636515913</v>
      </c>
      <c r="R522" s="1">
        <f>(Table1[[#This Row],[Children_discharged _from_HHS_ Care]]/Table1[[#This Row],[Children_transferred_out_of_CBP_custody]])</f>
        <v>23</v>
      </c>
    </row>
    <row r="523" spans="1:18" x14ac:dyDescent="0.3">
      <c r="A523">
        <v>522</v>
      </c>
      <c r="B523" s="7">
        <v>45715</v>
      </c>
      <c r="C523" s="5">
        <v>10</v>
      </c>
      <c r="D523" s="5">
        <v>15</v>
      </c>
      <c r="E523" s="5">
        <v>17</v>
      </c>
      <c r="F523" s="5">
        <v>2391</v>
      </c>
      <c r="G523" s="5">
        <v>37</v>
      </c>
      <c r="H523" t="str">
        <f t="shared" si="41"/>
        <v>Invalid</v>
      </c>
      <c r="I523" t="str">
        <f t="shared" si="42"/>
        <v>Valid</v>
      </c>
      <c r="J523" s="5">
        <f t="shared" si="43"/>
        <v>2354</v>
      </c>
      <c r="K523" s="5">
        <f t="shared" si="44"/>
        <v>2406</v>
      </c>
      <c r="L523" s="5">
        <f>IF(Table1[[#This Row],[Total_System_Load]]&gt;80%*AVERAGE(Table1[Total_System_Load]),Table1[[#This Row],[Total_System_Load]]-Table1[[#This Row],[Total_Children_Under_Care]],0)</f>
        <v>0</v>
      </c>
      <c r="M523" s="5">
        <f t="shared" si="40"/>
        <v>-20</v>
      </c>
      <c r="N523" s="5">
        <f>M524-Table1[[#This Row],[Net_Daily_Intake]]</f>
        <v>-7</v>
      </c>
      <c r="O523" s="5">
        <f>M524-Table1[[#This Row],[Net_Daily_Intake]]/Table1[[#This Row],[Net_Daily_Intake]]</f>
        <v>-28</v>
      </c>
      <c r="P523" t="str">
        <f>IF(Table1[[#This Row],[Change_in_Net_Daily_Intake]]&gt;0,"Sustained Positive","Negative")</f>
        <v>Negative</v>
      </c>
      <c r="Q523" s="1">
        <f>(Table1[[#This Row],[Total_System_Load]]-Table1[[#This Row],[Total_Children_Under_Care]])/Table1[[#This Row],[Total_Children_Under_Care]]*100</f>
        <v>2.2090059473237043</v>
      </c>
      <c r="R523" s="1">
        <f>(Table1[[#This Row],[Children_discharged _from_HHS_ Care]]/Table1[[#This Row],[Children_transferred_out_of_CBP_custody]])</f>
        <v>2.1764705882352939</v>
      </c>
    </row>
    <row r="524" spans="1:18" x14ac:dyDescent="0.3">
      <c r="A524">
        <v>523</v>
      </c>
      <c r="B524" s="7">
        <v>45718</v>
      </c>
      <c r="C524" s="5">
        <v>12</v>
      </c>
      <c r="D524" s="5">
        <v>24</v>
      </c>
      <c r="E524" s="5">
        <v>4</v>
      </c>
      <c r="F524" s="5">
        <v>2297</v>
      </c>
      <c r="G524" s="5">
        <v>31</v>
      </c>
      <c r="H524" t="str">
        <f t="shared" si="41"/>
        <v>Valid</v>
      </c>
      <c r="I524" t="str">
        <f t="shared" si="42"/>
        <v>Valid</v>
      </c>
      <c r="J524" s="5">
        <f t="shared" si="43"/>
        <v>2266</v>
      </c>
      <c r="K524" s="5">
        <f t="shared" si="44"/>
        <v>2321</v>
      </c>
      <c r="L524" s="5">
        <f>IF(Table1[[#This Row],[Total_System_Load]]&gt;80%*AVERAGE(Table1[Total_System_Load]),Table1[[#This Row],[Total_System_Load]]-Table1[[#This Row],[Total_Children_Under_Care]],0)</f>
        <v>0</v>
      </c>
      <c r="M524" s="5">
        <f t="shared" si="40"/>
        <v>-27</v>
      </c>
      <c r="N524" s="5">
        <f>M525-Table1[[#This Row],[Net_Daily_Intake]]</f>
        <v>20</v>
      </c>
      <c r="O524" s="5">
        <f>M525-Table1[[#This Row],[Net_Daily_Intake]]/Table1[[#This Row],[Net_Daily_Intake]]</f>
        <v>-8</v>
      </c>
      <c r="P524" t="str">
        <f>IF(Table1[[#This Row],[Change_in_Net_Daily_Intake]]&gt;0,"Sustained Positive","Negative")</f>
        <v>Sustained Positive</v>
      </c>
      <c r="Q524" s="1">
        <f>(Table1[[#This Row],[Total_System_Load]]-Table1[[#This Row],[Total_Children_Under_Care]])/Table1[[#This Row],[Total_Children_Under_Care]]*100</f>
        <v>2.4271844660194173</v>
      </c>
      <c r="R524" s="1">
        <f>(Table1[[#This Row],[Children_discharged _from_HHS_ Care]]/Table1[[#This Row],[Children_transferred_out_of_CBP_custody]])</f>
        <v>7.75</v>
      </c>
    </row>
    <row r="525" spans="1:18" x14ac:dyDescent="0.3">
      <c r="A525">
        <v>524</v>
      </c>
      <c r="B525" s="7">
        <v>45719</v>
      </c>
      <c r="C525" s="5">
        <v>8</v>
      </c>
      <c r="D525" s="5">
        <v>29</v>
      </c>
      <c r="E525" s="5">
        <v>18</v>
      </c>
      <c r="F525" s="5">
        <v>2287</v>
      </c>
      <c r="G525" s="5">
        <v>25</v>
      </c>
      <c r="H525" t="str">
        <f t="shared" si="41"/>
        <v>Valid</v>
      </c>
      <c r="I525" t="str">
        <f t="shared" si="42"/>
        <v>Valid</v>
      </c>
      <c r="J525" s="5">
        <f t="shared" si="43"/>
        <v>2262</v>
      </c>
      <c r="K525" s="5">
        <f t="shared" si="44"/>
        <v>2316</v>
      </c>
      <c r="L525" s="5">
        <f>IF(Table1[[#This Row],[Total_System_Load]]&gt;80%*AVERAGE(Table1[Total_System_Load]),Table1[[#This Row],[Total_System_Load]]-Table1[[#This Row],[Total_Children_Under_Care]],0)</f>
        <v>0</v>
      </c>
      <c r="M525" s="5">
        <f t="shared" si="40"/>
        <v>-7</v>
      </c>
      <c r="N525" s="5">
        <f>M526-Table1[[#This Row],[Net_Daily_Intake]]</f>
        <v>-13</v>
      </c>
      <c r="O525" s="5">
        <f>M526-Table1[[#This Row],[Net_Daily_Intake]]/Table1[[#This Row],[Net_Daily_Intake]]</f>
        <v>-21</v>
      </c>
      <c r="P525" t="str">
        <f>IF(Table1[[#This Row],[Change_in_Net_Daily_Intake]]&gt;0,"Sustained Positive","Negative")</f>
        <v>Negative</v>
      </c>
      <c r="Q525" s="1">
        <f>(Table1[[#This Row],[Total_System_Load]]-Table1[[#This Row],[Total_Children_Under_Care]])/Table1[[#This Row],[Total_Children_Under_Care]]*100</f>
        <v>2.3872679045092835</v>
      </c>
      <c r="R525" s="1">
        <f>(Table1[[#This Row],[Children_discharged _from_HHS_ Care]]/Table1[[#This Row],[Children_transferred_out_of_CBP_custody]])</f>
        <v>1.3888888888888888</v>
      </c>
    </row>
    <row r="526" spans="1:18" x14ac:dyDescent="0.3">
      <c r="A526">
        <v>525</v>
      </c>
      <c r="B526" s="7">
        <v>45720</v>
      </c>
      <c r="C526" s="5">
        <v>4</v>
      </c>
      <c r="D526" s="5">
        <v>25</v>
      </c>
      <c r="E526" s="5">
        <v>10</v>
      </c>
      <c r="F526" s="5">
        <v>2272</v>
      </c>
      <c r="G526" s="5">
        <v>30</v>
      </c>
      <c r="H526" t="str">
        <f t="shared" si="41"/>
        <v>Valid</v>
      </c>
      <c r="I526" t="str">
        <f t="shared" si="42"/>
        <v>Valid</v>
      </c>
      <c r="J526" s="5">
        <f t="shared" si="43"/>
        <v>2242</v>
      </c>
      <c r="K526" s="5">
        <f t="shared" si="44"/>
        <v>2297</v>
      </c>
      <c r="L526" s="5">
        <f>IF(Table1[[#This Row],[Total_System_Load]]&gt;80%*AVERAGE(Table1[Total_System_Load]),Table1[[#This Row],[Total_System_Load]]-Table1[[#This Row],[Total_Children_Under_Care]],0)</f>
        <v>0</v>
      </c>
      <c r="M526" s="5">
        <f t="shared" si="40"/>
        <v>-20</v>
      </c>
      <c r="N526" s="5">
        <f>M527-Table1[[#This Row],[Net_Daily_Intake]]</f>
        <v>-16</v>
      </c>
      <c r="O526" s="5">
        <f>M527-Table1[[#This Row],[Net_Daily_Intake]]/Table1[[#This Row],[Net_Daily_Intake]]</f>
        <v>-37</v>
      </c>
      <c r="P526" t="str">
        <f>IF(Table1[[#This Row],[Change_in_Net_Daily_Intake]]&gt;0,"Sustained Positive","Negative")</f>
        <v>Negative</v>
      </c>
      <c r="Q526" s="1">
        <f>(Table1[[#This Row],[Total_System_Load]]-Table1[[#This Row],[Total_Children_Under_Care]])/Table1[[#This Row],[Total_Children_Under_Care]]*100</f>
        <v>2.4531668153434434</v>
      </c>
      <c r="R526" s="1">
        <f>(Table1[[#This Row],[Children_discharged _from_HHS_ Care]]/Table1[[#This Row],[Children_transferred_out_of_CBP_custody]])</f>
        <v>3</v>
      </c>
    </row>
    <row r="527" spans="1:18" x14ac:dyDescent="0.3">
      <c r="A527">
        <v>526</v>
      </c>
      <c r="B527" s="7">
        <v>45721</v>
      </c>
      <c r="C527" s="5">
        <v>5</v>
      </c>
      <c r="D527" s="5">
        <v>20</v>
      </c>
      <c r="E527" s="5">
        <v>4</v>
      </c>
      <c r="F527" s="5">
        <v>2238</v>
      </c>
      <c r="G527" s="5">
        <v>40</v>
      </c>
      <c r="H527" t="str">
        <f t="shared" si="41"/>
        <v>Valid</v>
      </c>
      <c r="I527" t="str">
        <f t="shared" si="42"/>
        <v>Valid</v>
      </c>
      <c r="J527" s="5">
        <f t="shared" si="43"/>
        <v>2198</v>
      </c>
      <c r="K527" s="5">
        <f t="shared" si="44"/>
        <v>2258</v>
      </c>
      <c r="L527" s="5">
        <f>IF(Table1[[#This Row],[Total_System_Load]]&gt;80%*AVERAGE(Table1[Total_System_Load]),Table1[[#This Row],[Total_System_Load]]-Table1[[#This Row],[Total_Children_Under_Care]],0)</f>
        <v>0</v>
      </c>
      <c r="M527" s="5">
        <f t="shared" si="40"/>
        <v>-36</v>
      </c>
      <c r="N527" s="5">
        <f>M528-Table1[[#This Row],[Net_Daily_Intake]]</f>
        <v>9</v>
      </c>
      <c r="O527" s="5">
        <f>M528-Table1[[#This Row],[Net_Daily_Intake]]/Table1[[#This Row],[Net_Daily_Intake]]</f>
        <v>-28</v>
      </c>
      <c r="P527" t="str">
        <f>IF(Table1[[#This Row],[Change_in_Net_Daily_Intake]]&gt;0,"Sustained Positive","Negative")</f>
        <v>Sustained Positive</v>
      </c>
      <c r="Q527" s="1">
        <f>(Table1[[#This Row],[Total_System_Load]]-Table1[[#This Row],[Total_Children_Under_Care]])/Table1[[#This Row],[Total_Children_Under_Care]]*100</f>
        <v>2.7297543221110101</v>
      </c>
      <c r="R527" s="1">
        <f>(Table1[[#This Row],[Children_discharged _from_HHS_ Care]]/Table1[[#This Row],[Children_transferred_out_of_CBP_custody]])</f>
        <v>10</v>
      </c>
    </row>
    <row r="528" spans="1:18" x14ac:dyDescent="0.3">
      <c r="A528">
        <v>527</v>
      </c>
      <c r="B528" s="7">
        <v>45722</v>
      </c>
      <c r="C528" s="5">
        <v>7</v>
      </c>
      <c r="D528" s="5">
        <v>27</v>
      </c>
      <c r="E528" s="5">
        <v>6</v>
      </c>
      <c r="F528" s="5">
        <v>2218</v>
      </c>
      <c r="G528" s="5">
        <v>33</v>
      </c>
      <c r="H528" t="str">
        <f t="shared" si="41"/>
        <v>Valid</v>
      </c>
      <c r="I528" t="str">
        <f t="shared" si="42"/>
        <v>Valid</v>
      </c>
      <c r="J528" s="5">
        <f t="shared" si="43"/>
        <v>2185</v>
      </c>
      <c r="K528" s="5">
        <f t="shared" si="44"/>
        <v>2245</v>
      </c>
      <c r="L528" s="5">
        <f>IF(Table1[[#This Row],[Total_System_Load]]&gt;80%*AVERAGE(Table1[Total_System_Load]),Table1[[#This Row],[Total_System_Load]]-Table1[[#This Row],[Total_Children_Under_Care]],0)</f>
        <v>0</v>
      </c>
      <c r="M528" s="5">
        <f t="shared" si="40"/>
        <v>-27</v>
      </c>
      <c r="N528" s="5">
        <f>M529-Table1[[#This Row],[Net_Daily_Intake]]</f>
        <v>12</v>
      </c>
      <c r="O528" s="5">
        <f>M529-Table1[[#This Row],[Net_Daily_Intake]]/Table1[[#This Row],[Net_Daily_Intake]]</f>
        <v>-16</v>
      </c>
      <c r="P528" t="str">
        <f>IF(Table1[[#This Row],[Change_in_Net_Daily_Intake]]&gt;0,"Sustained Positive","Negative")</f>
        <v>Sustained Positive</v>
      </c>
      <c r="Q528" s="1">
        <f>(Table1[[#This Row],[Total_System_Load]]-Table1[[#This Row],[Total_Children_Under_Care]])/Table1[[#This Row],[Total_Children_Under_Care]]*100</f>
        <v>2.7459954233409611</v>
      </c>
      <c r="R528" s="1">
        <f>(Table1[[#This Row],[Children_discharged _from_HHS_ Care]]/Table1[[#This Row],[Children_transferred_out_of_CBP_custody]])</f>
        <v>5.5</v>
      </c>
    </row>
    <row r="529" spans="1:18" x14ac:dyDescent="0.3">
      <c r="A529">
        <v>528</v>
      </c>
      <c r="B529" s="7">
        <v>45725</v>
      </c>
      <c r="C529" s="5">
        <v>12</v>
      </c>
      <c r="D529" s="5">
        <v>25</v>
      </c>
      <c r="E529" s="5">
        <v>15</v>
      </c>
      <c r="F529" s="5">
        <v>2137</v>
      </c>
      <c r="G529" s="5">
        <v>30</v>
      </c>
      <c r="H529" t="str">
        <f t="shared" si="41"/>
        <v>Valid</v>
      </c>
      <c r="I529" t="str">
        <f t="shared" si="42"/>
        <v>Valid</v>
      </c>
      <c r="J529" s="5">
        <f t="shared" si="43"/>
        <v>2107</v>
      </c>
      <c r="K529" s="5">
        <f t="shared" si="44"/>
        <v>2162</v>
      </c>
      <c r="L529" s="5">
        <f>IF(Table1[[#This Row],[Total_System_Load]]&gt;80%*AVERAGE(Table1[Total_System_Load]),Table1[[#This Row],[Total_System_Load]]-Table1[[#This Row],[Total_Children_Under_Care]],0)</f>
        <v>0</v>
      </c>
      <c r="M529" s="5">
        <f t="shared" si="40"/>
        <v>-15</v>
      </c>
      <c r="N529" s="5">
        <f>M530-Table1[[#This Row],[Net_Daily_Intake]]</f>
        <v>0</v>
      </c>
      <c r="O529" s="5">
        <f>M530-Table1[[#This Row],[Net_Daily_Intake]]/Table1[[#This Row],[Net_Daily_Intake]]</f>
        <v>-16</v>
      </c>
      <c r="P529" t="str">
        <f>IF(Table1[[#This Row],[Change_in_Net_Daily_Intake]]&gt;0,"Sustained Positive","Negative")</f>
        <v>Negative</v>
      </c>
      <c r="Q529" s="1">
        <f>(Table1[[#This Row],[Total_System_Load]]-Table1[[#This Row],[Total_Children_Under_Care]])/Table1[[#This Row],[Total_Children_Under_Care]]*100</f>
        <v>2.6103464641670624</v>
      </c>
      <c r="R529" s="1">
        <f>(Table1[[#This Row],[Children_discharged _from_HHS_ Care]]/Table1[[#This Row],[Children_transferred_out_of_CBP_custody]])</f>
        <v>2</v>
      </c>
    </row>
    <row r="530" spans="1:18" x14ac:dyDescent="0.3">
      <c r="A530">
        <v>529</v>
      </c>
      <c r="B530" s="7">
        <v>45726</v>
      </c>
      <c r="C530" s="5">
        <v>6</v>
      </c>
      <c r="D530" s="5">
        <v>28</v>
      </c>
      <c r="E530" s="5">
        <v>8</v>
      </c>
      <c r="F530" s="5">
        <v>2125</v>
      </c>
      <c r="G530" s="5">
        <v>23</v>
      </c>
      <c r="H530" t="str">
        <f t="shared" si="41"/>
        <v>Valid</v>
      </c>
      <c r="I530" t="str">
        <f t="shared" si="42"/>
        <v>Valid</v>
      </c>
      <c r="J530" s="5">
        <f t="shared" si="43"/>
        <v>2102</v>
      </c>
      <c r="K530" s="5">
        <f t="shared" si="44"/>
        <v>2153</v>
      </c>
      <c r="L530" s="5">
        <f>IF(Table1[[#This Row],[Total_System_Load]]&gt;80%*AVERAGE(Table1[Total_System_Load]),Table1[[#This Row],[Total_System_Load]]-Table1[[#This Row],[Total_Children_Under_Care]],0)</f>
        <v>0</v>
      </c>
      <c r="M530" s="5">
        <f t="shared" si="40"/>
        <v>-15</v>
      </c>
      <c r="N530" s="5">
        <f>M531-Table1[[#This Row],[Net_Daily_Intake]]</f>
        <v>2</v>
      </c>
      <c r="O530" s="5">
        <f>M531-Table1[[#This Row],[Net_Daily_Intake]]/Table1[[#This Row],[Net_Daily_Intake]]</f>
        <v>-14</v>
      </c>
      <c r="P530" t="str">
        <f>IF(Table1[[#This Row],[Change_in_Net_Daily_Intake]]&gt;0,"Sustained Positive","Negative")</f>
        <v>Sustained Positive</v>
      </c>
      <c r="Q530" s="1">
        <f>(Table1[[#This Row],[Total_System_Load]]-Table1[[#This Row],[Total_Children_Under_Care]])/Table1[[#This Row],[Total_Children_Under_Care]]*100</f>
        <v>2.4262607040913418</v>
      </c>
      <c r="R530" s="1">
        <f>(Table1[[#This Row],[Children_discharged _from_HHS_ Care]]/Table1[[#This Row],[Children_transferred_out_of_CBP_custody]])</f>
        <v>2.875</v>
      </c>
    </row>
    <row r="531" spans="1:18" x14ac:dyDescent="0.3">
      <c r="A531">
        <v>530</v>
      </c>
      <c r="B531" s="7">
        <v>45727</v>
      </c>
      <c r="C531" s="5">
        <v>3</v>
      </c>
      <c r="D531" s="5">
        <v>11</v>
      </c>
      <c r="E531" s="5">
        <v>7</v>
      </c>
      <c r="F531" s="5">
        <v>2116</v>
      </c>
      <c r="G531" s="5">
        <v>20</v>
      </c>
      <c r="H531" t="str">
        <f t="shared" si="41"/>
        <v>Valid</v>
      </c>
      <c r="I531" t="str">
        <f t="shared" si="42"/>
        <v>Valid</v>
      </c>
      <c r="J531" s="5">
        <f t="shared" si="43"/>
        <v>2096</v>
      </c>
      <c r="K531" s="5">
        <f t="shared" si="44"/>
        <v>2127</v>
      </c>
      <c r="L531" s="5">
        <f>IF(Table1[[#This Row],[Total_System_Load]]&gt;80%*AVERAGE(Table1[Total_System_Load]),Table1[[#This Row],[Total_System_Load]]-Table1[[#This Row],[Total_Children_Under_Care]],0)</f>
        <v>0</v>
      </c>
      <c r="M531" s="5">
        <f t="shared" si="40"/>
        <v>-13</v>
      </c>
      <c r="N531" s="5">
        <f>M532-Table1[[#This Row],[Net_Daily_Intake]]</f>
        <v>7</v>
      </c>
      <c r="O531" s="5">
        <f>M532-Table1[[#This Row],[Net_Daily_Intake]]/Table1[[#This Row],[Net_Daily_Intake]]</f>
        <v>-7</v>
      </c>
      <c r="P531" t="str">
        <f>IF(Table1[[#This Row],[Change_in_Net_Daily_Intake]]&gt;0,"Sustained Positive","Negative")</f>
        <v>Sustained Positive</v>
      </c>
      <c r="Q531" s="1">
        <f>(Table1[[#This Row],[Total_System_Load]]-Table1[[#This Row],[Total_Children_Under_Care]])/Table1[[#This Row],[Total_Children_Under_Care]]*100</f>
        <v>1.4790076335877862</v>
      </c>
      <c r="R531" s="1">
        <f>(Table1[[#This Row],[Children_discharged _from_HHS_ Care]]/Table1[[#This Row],[Children_transferred_out_of_CBP_custody]])</f>
        <v>2.8571428571428572</v>
      </c>
    </row>
    <row r="532" spans="1:18" x14ac:dyDescent="0.3">
      <c r="A532">
        <v>531</v>
      </c>
      <c r="B532" s="7">
        <v>45728</v>
      </c>
      <c r="C532" s="5">
        <v>6</v>
      </c>
      <c r="D532" s="5">
        <v>18</v>
      </c>
      <c r="E532" s="5">
        <v>2</v>
      </c>
      <c r="F532" s="5">
        <v>2113</v>
      </c>
      <c r="G532" s="5">
        <v>8</v>
      </c>
      <c r="H532" t="str">
        <f t="shared" si="41"/>
        <v>Valid</v>
      </c>
      <c r="I532" t="str">
        <f t="shared" si="42"/>
        <v>Valid</v>
      </c>
      <c r="J532" s="5">
        <f t="shared" si="43"/>
        <v>2105</v>
      </c>
      <c r="K532" s="5">
        <f t="shared" si="44"/>
        <v>2131</v>
      </c>
      <c r="L532" s="5">
        <f>IF(Table1[[#This Row],[Total_System_Load]]&gt;80%*AVERAGE(Table1[Total_System_Load]),Table1[[#This Row],[Total_System_Load]]-Table1[[#This Row],[Total_Children_Under_Care]],0)</f>
        <v>0</v>
      </c>
      <c r="M532" s="5">
        <f t="shared" si="40"/>
        <v>-6</v>
      </c>
      <c r="N532" s="5">
        <f>M533-Table1[[#This Row],[Net_Daily_Intake]]</f>
        <v>9</v>
      </c>
      <c r="O532" s="5">
        <f>M533-Table1[[#This Row],[Net_Daily_Intake]]/Table1[[#This Row],[Net_Daily_Intake]]</f>
        <v>2</v>
      </c>
      <c r="P532" t="str">
        <f>IF(Table1[[#This Row],[Change_in_Net_Daily_Intake]]&gt;0,"Sustained Positive","Negative")</f>
        <v>Sustained Positive</v>
      </c>
      <c r="Q532" s="1">
        <f>(Table1[[#This Row],[Total_System_Load]]-Table1[[#This Row],[Total_Children_Under_Care]])/Table1[[#This Row],[Total_Children_Under_Care]]*100</f>
        <v>1.2351543942992875</v>
      </c>
      <c r="R532" s="1">
        <f>(Table1[[#This Row],[Children_discharged _from_HHS_ Care]]/Table1[[#This Row],[Children_transferred_out_of_CBP_custody]])</f>
        <v>4</v>
      </c>
    </row>
    <row r="533" spans="1:18" x14ac:dyDescent="0.3">
      <c r="A533">
        <v>532</v>
      </c>
      <c r="B533" s="7">
        <v>45729</v>
      </c>
      <c r="C533" s="5">
        <v>4</v>
      </c>
      <c r="D533" s="5">
        <v>20</v>
      </c>
      <c r="E533" s="5">
        <v>9</v>
      </c>
      <c r="F533" s="5">
        <v>2116</v>
      </c>
      <c r="G533" s="5">
        <v>6</v>
      </c>
      <c r="H533" t="str">
        <f t="shared" si="41"/>
        <v>Valid</v>
      </c>
      <c r="I533" t="str">
        <f t="shared" si="42"/>
        <v>Valid</v>
      </c>
      <c r="J533" s="5">
        <f t="shared" si="43"/>
        <v>2110</v>
      </c>
      <c r="K533" s="5">
        <f t="shared" si="44"/>
        <v>2136</v>
      </c>
      <c r="L533" s="5">
        <f>IF(Table1[[#This Row],[Total_System_Load]]&gt;80%*AVERAGE(Table1[Total_System_Load]),Table1[[#This Row],[Total_System_Load]]-Table1[[#This Row],[Total_Children_Under_Care]],0)</f>
        <v>0</v>
      </c>
      <c r="M533" s="5">
        <f t="shared" si="40"/>
        <v>3</v>
      </c>
      <c r="N533" s="5">
        <f>M534-Table1[[#This Row],[Net_Daily_Intake]]</f>
        <v>0</v>
      </c>
      <c r="O533" s="5">
        <f>M534-Table1[[#This Row],[Net_Daily_Intake]]/Table1[[#This Row],[Net_Daily_Intake]]</f>
        <v>2</v>
      </c>
      <c r="P533" t="str">
        <f>IF(Table1[[#This Row],[Change_in_Net_Daily_Intake]]&gt;0,"Sustained Positive","Negative")</f>
        <v>Negative</v>
      </c>
      <c r="Q533" s="1">
        <f>(Table1[[#This Row],[Total_System_Load]]-Table1[[#This Row],[Total_Children_Under_Care]])/Table1[[#This Row],[Total_Children_Under_Care]]*100</f>
        <v>1.2322274881516588</v>
      </c>
      <c r="R533" s="1">
        <f>(Table1[[#This Row],[Children_discharged _from_HHS_ Care]]/Table1[[#This Row],[Children_transferred_out_of_CBP_custody]])</f>
        <v>0.66666666666666663</v>
      </c>
    </row>
    <row r="534" spans="1:18" x14ac:dyDescent="0.3">
      <c r="A534">
        <v>533</v>
      </c>
      <c r="B534" s="7">
        <v>45732</v>
      </c>
      <c r="C534" s="5">
        <v>1</v>
      </c>
      <c r="D534" s="5">
        <v>9</v>
      </c>
      <c r="E534" s="5">
        <v>8</v>
      </c>
      <c r="F534" s="5">
        <v>2117</v>
      </c>
      <c r="G534" s="5">
        <v>5</v>
      </c>
      <c r="H534" t="str">
        <f t="shared" si="41"/>
        <v>Valid</v>
      </c>
      <c r="I534" t="str">
        <f t="shared" si="42"/>
        <v>Valid</v>
      </c>
      <c r="J534" s="5">
        <f t="shared" si="43"/>
        <v>2112</v>
      </c>
      <c r="K534" s="5">
        <f t="shared" si="44"/>
        <v>2126</v>
      </c>
      <c r="L534" s="5">
        <f>IF(Table1[[#This Row],[Total_System_Load]]&gt;80%*AVERAGE(Table1[Total_System_Load]),Table1[[#This Row],[Total_System_Load]]-Table1[[#This Row],[Total_Children_Under_Care]],0)</f>
        <v>0</v>
      </c>
      <c r="M534" s="5">
        <f t="shared" si="40"/>
        <v>3</v>
      </c>
      <c r="N534" s="5">
        <f>M535-Table1[[#This Row],[Net_Daily_Intake]]</f>
        <v>-11</v>
      </c>
      <c r="O534" s="5">
        <f>M535-Table1[[#This Row],[Net_Daily_Intake]]/Table1[[#This Row],[Net_Daily_Intake]]</f>
        <v>-9</v>
      </c>
      <c r="P534" t="str">
        <f>IF(Table1[[#This Row],[Change_in_Net_Daily_Intake]]&gt;0,"Sustained Positive","Negative")</f>
        <v>Negative</v>
      </c>
      <c r="Q534" s="1">
        <f>(Table1[[#This Row],[Total_System_Load]]-Table1[[#This Row],[Total_Children_Under_Care]])/Table1[[#This Row],[Total_Children_Under_Care]]*100</f>
        <v>0.66287878787878785</v>
      </c>
      <c r="R534" s="1">
        <f>(Table1[[#This Row],[Children_discharged _from_HHS_ Care]]/Table1[[#This Row],[Children_transferred_out_of_CBP_custody]])</f>
        <v>0.625</v>
      </c>
    </row>
    <row r="535" spans="1:18" x14ac:dyDescent="0.3">
      <c r="A535">
        <v>534</v>
      </c>
      <c r="B535" s="7">
        <v>45733</v>
      </c>
      <c r="C535" s="5">
        <v>5</v>
      </c>
      <c r="D535" s="5">
        <v>14</v>
      </c>
      <c r="E535" s="5">
        <v>0</v>
      </c>
      <c r="F535" s="5">
        <v>2111</v>
      </c>
      <c r="G535" s="5">
        <v>8</v>
      </c>
      <c r="H535" t="str">
        <f t="shared" si="41"/>
        <v>Valid</v>
      </c>
      <c r="I535" t="str">
        <f t="shared" si="42"/>
        <v>Valid</v>
      </c>
      <c r="J535" s="5">
        <f t="shared" si="43"/>
        <v>2103</v>
      </c>
      <c r="K535" s="5">
        <f t="shared" si="44"/>
        <v>2125</v>
      </c>
      <c r="L535" s="5">
        <f>IF(Table1[[#This Row],[Total_System_Load]]&gt;80%*AVERAGE(Table1[Total_System_Load]),Table1[[#This Row],[Total_System_Load]]-Table1[[#This Row],[Total_Children_Under_Care]],0)</f>
        <v>0</v>
      </c>
      <c r="M535" s="5">
        <f t="shared" si="40"/>
        <v>-8</v>
      </c>
      <c r="N535" s="5">
        <f>M536-Table1[[#This Row],[Net_Daily_Intake]]</f>
        <v>6</v>
      </c>
      <c r="O535" s="5">
        <f>M536-Table1[[#This Row],[Net_Daily_Intake]]/Table1[[#This Row],[Net_Daily_Intake]]</f>
        <v>-3</v>
      </c>
      <c r="P535" t="str">
        <f>IF(Table1[[#This Row],[Change_in_Net_Daily_Intake]]&gt;0,"Sustained Positive","Negative")</f>
        <v>Sustained Positive</v>
      </c>
      <c r="Q535" s="1">
        <f>(Table1[[#This Row],[Total_System_Load]]-Table1[[#This Row],[Total_Children_Under_Care]])/Table1[[#This Row],[Total_Children_Under_Care]]*100</f>
        <v>1.0461245839277222</v>
      </c>
      <c r="R535" s="1">
        <v>0</v>
      </c>
    </row>
    <row r="536" spans="1:18" x14ac:dyDescent="0.3">
      <c r="A536">
        <v>535</v>
      </c>
      <c r="B536" s="7">
        <v>45734</v>
      </c>
      <c r="C536" s="5">
        <v>19</v>
      </c>
      <c r="D536" s="5">
        <v>34</v>
      </c>
      <c r="E536" s="5">
        <v>6</v>
      </c>
      <c r="F536" s="5">
        <v>2109</v>
      </c>
      <c r="G536" s="5">
        <v>8</v>
      </c>
      <c r="H536" t="str">
        <f t="shared" si="41"/>
        <v>Valid</v>
      </c>
      <c r="I536" t="str">
        <f t="shared" si="42"/>
        <v>Valid</v>
      </c>
      <c r="J536" s="5">
        <f t="shared" si="43"/>
        <v>2101</v>
      </c>
      <c r="K536" s="5">
        <f t="shared" si="44"/>
        <v>2143</v>
      </c>
      <c r="L536" s="5">
        <f>IF(Table1[[#This Row],[Total_System_Load]]&gt;80%*AVERAGE(Table1[Total_System_Load]),Table1[[#This Row],[Total_System_Load]]-Table1[[#This Row],[Total_Children_Under_Care]],0)</f>
        <v>0</v>
      </c>
      <c r="M536" s="5">
        <f t="shared" si="40"/>
        <v>-2</v>
      </c>
      <c r="N536" s="5">
        <f>M537-Table1[[#This Row],[Net_Daily_Intake]]</f>
        <v>7</v>
      </c>
      <c r="O536" s="5">
        <f>M537-Table1[[#This Row],[Net_Daily_Intake]]/Table1[[#This Row],[Net_Daily_Intake]]</f>
        <v>4</v>
      </c>
      <c r="P536" t="str">
        <f>IF(Table1[[#This Row],[Change_in_Net_Daily_Intake]]&gt;0,"Sustained Positive","Negative")</f>
        <v>Sustained Positive</v>
      </c>
      <c r="Q536" s="1">
        <f>(Table1[[#This Row],[Total_System_Load]]-Table1[[#This Row],[Total_Children_Under_Care]])/Table1[[#This Row],[Total_Children_Under_Care]]*100</f>
        <v>1.9990480723465014</v>
      </c>
      <c r="R536" s="1">
        <f>(Table1[[#This Row],[Children_discharged _from_HHS_ Care]]/Table1[[#This Row],[Children_transferred_out_of_CBP_custody]])</f>
        <v>1.3333333333333333</v>
      </c>
    </row>
    <row r="537" spans="1:18" x14ac:dyDescent="0.3">
      <c r="A537">
        <v>536</v>
      </c>
      <c r="B537" s="7">
        <v>45735</v>
      </c>
      <c r="C537" s="5">
        <v>6</v>
      </c>
      <c r="D537" s="5">
        <v>22</v>
      </c>
      <c r="E537" s="5">
        <v>14</v>
      </c>
      <c r="F537" s="5">
        <v>2119</v>
      </c>
      <c r="G537" s="5">
        <v>9</v>
      </c>
      <c r="H537" t="str">
        <f t="shared" si="41"/>
        <v>Valid</v>
      </c>
      <c r="I537" t="str">
        <f t="shared" si="42"/>
        <v>Valid</v>
      </c>
      <c r="J537" s="5">
        <f t="shared" si="43"/>
        <v>2110</v>
      </c>
      <c r="K537" s="5">
        <f t="shared" si="44"/>
        <v>2141</v>
      </c>
      <c r="L537" s="5">
        <f>IF(Table1[[#This Row],[Total_System_Load]]&gt;80%*AVERAGE(Table1[Total_System_Load]),Table1[[#This Row],[Total_System_Load]]-Table1[[#This Row],[Total_Children_Under_Care]],0)</f>
        <v>0</v>
      </c>
      <c r="M537" s="5">
        <f t="shared" si="40"/>
        <v>5</v>
      </c>
      <c r="N537" s="5">
        <f>M538-Table1[[#This Row],[Net_Daily_Intake]]</f>
        <v>-1</v>
      </c>
      <c r="O537" s="5">
        <f>M538-Table1[[#This Row],[Net_Daily_Intake]]/Table1[[#This Row],[Net_Daily_Intake]]</f>
        <v>3</v>
      </c>
      <c r="P537" t="str">
        <f>IF(Table1[[#This Row],[Change_in_Net_Daily_Intake]]&gt;0,"Sustained Positive","Negative")</f>
        <v>Negative</v>
      </c>
      <c r="Q537" s="1">
        <f>(Table1[[#This Row],[Total_System_Load]]-Table1[[#This Row],[Total_Children_Under_Care]])/Table1[[#This Row],[Total_Children_Under_Care]]*100</f>
        <v>1.4691943127962086</v>
      </c>
      <c r="R537" s="1">
        <f>(Table1[[#This Row],[Children_discharged _from_HHS_ Care]]/Table1[[#This Row],[Children_transferred_out_of_CBP_custody]])</f>
        <v>0.6428571428571429</v>
      </c>
    </row>
    <row r="538" spans="1:18" x14ac:dyDescent="0.3">
      <c r="A538">
        <v>537</v>
      </c>
      <c r="B538" s="7">
        <v>45736</v>
      </c>
      <c r="C538" s="5">
        <v>9</v>
      </c>
      <c r="D538" s="5">
        <v>20</v>
      </c>
      <c r="E538" s="5">
        <v>11</v>
      </c>
      <c r="F538" s="5">
        <v>2124</v>
      </c>
      <c r="G538" s="5">
        <v>7</v>
      </c>
      <c r="H538" t="str">
        <f t="shared" si="41"/>
        <v>Valid</v>
      </c>
      <c r="I538" t="str">
        <f t="shared" si="42"/>
        <v>Valid</v>
      </c>
      <c r="J538" s="5">
        <f t="shared" si="43"/>
        <v>2117</v>
      </c>
      <c r="K538" s="5">
        <f t="shared" si="44"/>
        <v>2144</v>
      </c>
      <c r="L538" s="5">
        <f>IF(Table1[[#This Row],[Total_System_Load]]&gt;80%*AVERAGE(Table1[Total_System_Load]),Table1[[#This Row],[Total_System_Load]]-Table1[[#This Row],[Total_Children_Under_Care]],0)</f>
        <v>0</v>
      </c>
      <c r="M538" s="5">
        <f t="shared" si="40"/>
        <v>4</v>
      </c>
      <c r="N538" s="5">
        <f>M539-Table1[[#This Row],[Net_Daily_Intake]]</f>
        <v>3</v>
      </c>
      <c r="O538" s="5">
        <f>M539-Table1[[#This Row],[Net_Daily_Intake]]/Table1[[#This Row],[Net_Daily_Intake]]</f>
        <v>6</v>
      </c>
      <c r="P538" t="str">
        <f>IF(Table1[[#This Row],[Change_in_Net_Daily_Intake]]&gt;0,"Sustained Positive","Negative")</f>
        <v>Sustained Positive</v>
      </c>
      <c r="Q538" s="1">
        <f>(Table1[[#This Row],[Total_System_Load]]-Table1[[#This Row],[Total_Children_Under_Care]])/Table1[[#This Row],[Total_Children_Under_Care]]*100</f>
        <v>1.2753897024090695</v>
      </c>
      <c r="R538" s="1">
        <f>(Table1[[#This Row],[Children_discharged _from_HHS_ Care]]/Table1[[#This Row],[Children_transferred_out_of_CBP_custody]])</f>
        <v>0.63636363636363635</v>
      </c>
    </row>
    <row r="539" spans="1:18" x14ac:dyDescent="0.3">
      <c r="A539">
        <v>538</v>
      </c>
      <c r="B539" s="7">
        <v>45739</v>
      </c>
      <c r="C539" s="5">
        <v>15</v>
      </c>
      <c r="D539" s="5">
        <v>29</v>
      </c>
      <c r="E539" s="5">
        <v>9</v>
      </c>
      <c r="F539" s="5">
        <v>2136</v>
      </c>
      <c r="G539" s="5">
        <v>2</v>
      </c>
      <c r="H539" t="str">
        <f t="shared" si="41"/>
        <v>Valid</v>
      </c>
      <c r="I539" t="str">
        <f t="shared" si="42"/>
        <v>Valid</v>
      </c>
      <c r="J539" s="5">
        <f t="shared" si="43"/>
        <v>2134</v>
      </c>
      <c r="K539" s="5">
        <f t="shared" si="44"/>
        <v>2165</v>
      </c>
      <c r="L539" s="5">
        <f>IF(Table1[[#This Row],[Total_System_Load]]&gt;80%*AVERAGE(Table1[Total_System_Load]),Table1[[#This Row],[Total_System_Load]]-Table1[[#This Row],[Total_Children_Under_Care]],0)</f>
        <v>0</v>
      </c>
      <c r="M539" s="5">
        <f t="shared" si="40"/>
        <v>7</v>
      </c>
      <c r="N539" s="5">
        <f>M540-Table1[[#This Row],[Net_Daily_Intake]]</f>
        <v>-3</v>
      </c>
      <c r="O539" s="5">
        <f>M540-Table1[[#This Row],[Net_Daily_Intake]]/Table1[[#This Row],[Net_Daily_Intake]]</f>
        <v>3</v>
      </c>
      <c r="P539" t="str">
        <f>IF(Table1[[#This Row],[Change_in_Net_Daily_Intake]]&gt;0,"Sustained Positive","Negative")</f>
        <v>Negative</v>
      </c>
      <c r="Q539" s="1">
        <f>(Table1[[#This Row],[Total_System_Load]]-Table1[[#This Row],[Total_Children_Under_Care]])/Table1[[#This Row],[Total_Children_Under_Care]]*100</f>
        <v>1.4526710402999063</v>
      </c>
      <c r="R539" s="1">
        <f>(Table1[[#This Row],[Children_discharged _from_HHS_ Care]]/Table1[[#This Row],[Children_transferred_out_of_CBP_custody]])</f>
        <v>0.22222222222222221</v>
      </c>
    </row>
    <row r="540" spans="1:18" x14ac:dyDescent="0.3">
      <c r="A540">
        <v>539</v>
      </c>
      <c r="B540" s="7">
        <v>45740</v>
      </c>
      <c r="C540" s="5">
        <v>7</v>
      </c>
      <c r="D540" s="5">
        <v>13</v>
      </c>
      <c r="E540" s="5">
        <v>11</v>
      </c>
      <c r="F540" s="5">
        <v>2139</v>
      </c>
      <c r="G540" s="5">
        <v>7</v>
      </c>
      <c r="H540" t="str">
        <f t="shared" si="41"/>
        <v>Valid</v>
      </c>
      <c r="I540" t="str">
        <f t="shared" si="42"/>
        <v>Valid</v>
      </c>
      <c r="J540" s="5">
        <f t="shared" si="43"/>
        <v>2132</v>
      </c>
      <c r="K540" s="5">
        <f t="shared" si="44"/>
        <v>2152</v>
      </c>
      <c r="L540" s="5">
        <f>IF(Table1[[#This Row],[Total_System_Load]]&gt;80%*AVERAGE(Table1[Total_System_Load]),Table1[[#This Row],[Total_System_Load]]-Table1[[#This Row],[Total_Children_Under_Care]],0)</f>
        <v>0</v>
      </c>
      <c r="M540" s="5">
        <f t="shared" si="40"/>
        <v>4</v>
      </c>
      <c r="N540" s="5">
        <f>M541-Table1[[#This Row],[Net_Daily_Intake]]</f>
        <v>-3</v>
      </c>
      <c r="O540" s="5">
        <f>M541-Table1[[#This Row],[Net_Daily_Intake]]/Table1[[#This Row],[Net_Daily_Intake]]</f>
        <v>0</v>
      </c>
      <c r="P540" t="str">
        <f>IF(Table1[[#This Row],[Change_in_Net_Daily_Intake]]&gt;0,"Sustained Positive","Negative")</f>
        <v>Negative</v>
      </c>
      <c r="Q540" s="1">
        <f>(Table1[[#This Row],[Total_System_Load]]-Table1[[#This Row],[Total_Children_Under_Care]])/Table1[[#This Row],[Total_Children_Under_Care]]*100</f>
        <v>0.93808630393996251</v>
      </c>
      <c r="R540" s="1">
        <f>(Table1[[#This Row],[Children_discharged _from_HHS_ Care]]/Table1[[#This Row],[Children_transferred_out_of_CBP_custody]])</f>
        <v>0.63636363636363635</v>
      </c>
    </row>
    <row r="541" spans="1:18" x14ac:dyDescent="0.3">
      <c r="A541">
        <v>540</v>
      </c>
      <c r="B541" s="7">
        <v>45741</v>
      </c>
      <c r="C541" s="5">
        <v>12</v>
      </c>
      <c r="D541" s="5">
        <v>19</v>
      </c>
      <c r="E541" s="5">
        <v>7</v>
      </c>
      <c r="F541" s="5">
        <v>2145</v>
      </c>
      <c r="G541" s="5">
        <v>6</v>
      </c>
      <c r="H541" t="str">
        <f t="shared" si="41"/>
        <v>Valid</v>
      </c>
      <c r="I541" t="str">
        <f t="shared" si="42"/>
        <v>Valid</v>
      </c>
      <c r="J541" s="5">
        <f t="shared" si="43"/>
        <v>2139</v>
      </c>
      <c r="K541" s="5">
        <f t="shared" si="44"/>
        <v>2164</v>
      </c>
      <c r="L541" s="5">
        <f>IF(Table1[[#This Row],[Total_System_Load]]&gt;80%*AVERAGE(Table1[Total_System_Load]),Table1[[#This Row],[Total_System_Load]]-Table1[[#This Row],[Total_Children_Under_Care]],0)</f>
        <v>0</v>
      </c>
      <c r="M541" s="5">
        <f t="shared" si="40"/>
        <v>1</v>
      </c>
      <c r="N541" s="5">
        <f>M542-Table1[[#This Row],[Net_Daily_Intake]]</f>
        <v>12</v>
      </c>
      <c r="O541" s="5">
        <f>M542-Table1[[#This Row],[Net_Daily_Intake]]/Table1[[#This Row],[Net_Daily_Intake]]</f>
        <v>12</v>
      </c>
      <c r="P541" t="str">
        <f>IF(Table1[[#This Row],[Change_in_Net_Daily_Intake]]&gt;0,"Sustained Positive","Negative")</f>
        <v>Sustained Positive</v>
      </c>
      <c r="Q541" s="1">
        <f>(Table1[[#This Row],[Total_System_Load]]-Table1[[#This Row],[Total_Children_Under_Care]])/Table1[[#This Row],[Total_Children_Under_Care]]*100</f>
        <v>1.168770453482936</v>
      </c>
      <c r="R541" s="1">
        <f>(Table1[[#This Row],[Children_discharged _from_HHS_ Care]]/Table1[[#This Row],[Children_transferred_out_of_CBP_custody]])</f>
        <v>0.8571428571428571</v>
      </c>
    </row>
    <row r="542" spans="1:18" x14ac:dyDescent="0.3">
      <c r="A542">
        <v>541</v>
      </c>
      <c r="B542" s="7">
        <v>45742</v>
      </c>
      <c r="C542" s="5">
        <v>9</v>
      </c>
      <c r="D542" s="5">
        <v>21</v>
      </c>
      <c r="E542" s="5">
        <v>15</v>
      </c>
      <c r="F542" s="5">
        <v>2159</v>
      </c>
      <c r="G542" s="5">
        <v>2</v>
      </c>
      <c r="H542" t="str">
        <f t="shared" si="41"/>
        <v>Valid</v>
      </c>
      <c r="I542" t="str">
        <f t="shared" si="42"/>
        <v>Valid</v>
      </c>
      <c r="J542" s="5">
        <f t="shared" si="43"/>
        <v>2157</v>
      </c>
      <c r="K542" s="5">
        <f t="shared" si="44"/>
        <v>2180</v>
      </c>
      <c r="L542" s="5">
        <f>IF(Table1[[#This Row],[Total_System_Load]]&gt;80%*AVERAGE(Table1[Total_System_Load]),Table1[[#This Row],[Total_System_Load]]-Table1[[#This Row],[Total_Children_Under_Care]],0)</f>
        <v>0</v>
      </c>
      <c r="M542" s="5">
        <f t="shared" si="40"/>
        <v>13</v>
      </c>
      <c r="N542" s="5">
        <f>M543-Table1[[#This Row],[Net_Daily_Intake]]</f>
        <v>-2</v>
      </c>
      <c r="O542" s="5">
        <f>M543-Table1[[#This Row],[Net_Daily_Intake]]/Table1[[#This Row],[Net_Daily_Intake]]</f>
        <v>10</v>
      </c>
      <c r="P542" t="str">
        <f>IF(Table1[[#This Row],[Change_in_Net_Daily_Intake]]&gt;0,"Sustained Positive","Negative")</f>
        <v>Negative</v>
      </c>
      <c r="Q542" s="1">
        <f>(Table1[[#This Row],[Total_System_Load]]-Table1[[#This Row],[Total_Children_Under_Care]])/Table1[[#This Row],[Total_Children_Under_Care]]*100</f>
        <v>1.0662957811775615</v>
      </c>
      <c r="R542" s="1">
        <f>(Table1[[#This Row],[Children_discharged _from_HHS_ Care]]/Table1[[#This Row],[Children_transferred_out_of_CBP_custody]])</f>
        <v>0.13333333333333333</v>
      </c>
    </row>
    <row r="543" spans="1:18" x14ac:dyDescent="0.3">
      <c r="A543">
        <v>542</v>
      </c>
      <c r="B543" s="7">
        <v>45743</v>
      </c>
      <c r="C543" s="5">
        <v>1</v>
      </c>
      <c r="D543" s="5">
        <v>19</v>
      </c>
      <c r="E543" s="5">
        <v>13</v>
      </c>
      <c r="F543" s="5">
        <v>2159</v>
      </c>
      <c r="G543" s="5">
        <v>2</v>
      </c>
      <c r="H543" t="str">
        <f t="shared" si="41"/>
        <v>Valid</v>
      </c>
      <c r="I543" t="str">
        <f t="shared" si="42"/>
        <v>Valid</v>
      </c>
      <c r="J543" s="5">
        <f t="shared" si="43"/>
        <v>2157</v>
      </c>
      <c r="K543" s="5">
        <f t="shared" si="44"/>
        <v>2178</v>
      </c>
      <c r="L543" s="5">
        <f>IF(Table1[[#This Row],[Total_System_Load]]&gt;80%*AVERAGE(Table1[Total_System_Load]),Table1[[#This Row],[Total_System_Load]]-Table1[[#This Row],[Total_Children_Under_Care]],0)</f>
        <v>0</v>
      </c>
      <c r="M543" s="5">
        <f t="shared" si="40"/>
        <v>11</v>
      </c>
      <c r="N543" s="5">
        <f>M544-Table1[[#This Row],[Net_Daily_Intake]]</f>
        <v>-8</v>
      </c>
      <c r="O543" s="5">
        <f>M544-Table1[[#This Row],[Net_Daily_Intake]]/Table1[[#This Row],[Net_Daily_Intake]]</f>
        <v>2</v>
      </c>
      <c r="P543" t="str">
        <f>IF(Table1[[#This Row],[Change_in_Net_Daily_Intake]]&gt;0,"Sustained Positive","Negative")</f>
        <v>Negative</v>
      </c>
      <c r="Q543" s="1">
        <f>(Table1[[#This Row],[Total_System_Load]]-Table1[[#This Row],[Total_Children_Under_Care]])/Table1[[#This Row],[Total_Children_Under_Care]]*100</f>
        <v>0.97357440890125169</v>
      </c>
      <c r="R543" s="1">
        <f>(Table1[[#This Row],[Children_discharged _from_HHS_ Care]]/Table1[[#This Row],[Children_transferred_out_of_CBP_custody]])</f>
        <v>0.15384615384615385</v>
      </c>
    </row>
    <row r="544" spans="1:18" x14ac:dyDescent="0.3">
      <c r="A544">
        <v>543</v>
      </c>
      <c r="B544" s="7">
        <v>45746</v>
      </c>
      <c r="C544" s="5">
        <v>9</v>
      </c>
      <c r="D544" s="5">
        <v>20</v>
      </c>
      <c r="E544" s="5">
        <v>5</v>
      </c>
      <c r="F544" s="5">
        <v>2188</v>
      </c>
      <c r="G544" s="5">
        <v>2</v>
      </c>
      <c r="H544" t="str">
        <f t="shared" si="41"/>
        <v>Valid</v>
      </c>
      <c r="I544" t="str">
        <f t="shared" si="42"/>
        <v>Valid</v>
      </c>
      <c r="J544" s="5">
        <f t="shared" si="43"/>
        <v>2186</v>
      </c>
      <c r="K544" s="5">
        <f t="shared" si="44"/>
        <v>2208</v>
      </c>
      <c r="L544" s="5">
        <f>IF(Table1[[#This Row],[Total_System_Load]]&gt;80%*AVERAGE(Table1[Total_System_Load]),Table1[[#This Row],[Total_System_Load]]-Table1[[#This Row],[Total_Children_Under_Care]],0)</f>
        <v>0</v>
      </c>
      <c r="M544" s="5">
        <f t="shared" si="40"/>
        <v>3</v>
      </c>
      <c r="N544" s="5">
        <f>M545-Table1[[#This Row],[Net_Daily_Intake]]</f>
        <v>0</v>
      </c>
      <c r="O544" s="5">
        <f>M545-Table1[[#This Row],[Net_Daily_Intake]]/Table1[[#This Row],[Net_Daily_Intake]]</f>
        <v>2</v>
      </c>
      <c r="P544" t="str">
        <f>IF(Table1[[#This Row],[Change_in_Net_Daily_Intake]]&gt;0,"Sustained Positive","Negative")</f>
        <v>Negative</v>
      </c>
      <c r="Q544" s="1">
        <f>(Table1[[#This Row],[Total_System_Load]]-Table1[[#This Row],[Total_Children_Under_Care]])/Table1[[#This Row],[Total_Children_Under_Care]]*100</f>
        <v>1.0064043915827996</v>
      </c>
      <c r="R544" s="1">
        <f>(Table1[[#This Row],[Children_discharged _from_HHS_ Care]]/Table1[[#This Row],[Children_transferred_out_of_CBP_custody]])</f>
        <v>0.4</v>
      </c>
    </row>
    <row r="545" spans="1:18" x14ac:dyDescent="0.3">
      <c r="A545">
        <v>544</v>
      </c>
      <c r="B545" s="7">
        <v>45747</v>
      </c>
      <c r="C545" s="5">
        <v>9</v>
      </c>
      <c r="D545" s="5">
        <v>25</v>
      </c>
      <c r="E545" s="5">
        <v>8</v>
      </c>
      <c r="F545" s="5">
        <v>2193</v>
      </c>
      <c r="G545" s="5">
        <v>5</v>
      </c>
      <c r="H545" t="str">
        <f t="shared" si="41"/>
        <v>Valid</v>
      </c>
      <c r="I545" t="str">
        <f t="shared" si="42"/>
        <v>Valid</v>
      </c>
      <c r="J545" s="5">
        <f t="shared" si="43"/>
        <v>2188</v>
      </c>
      <c r="K545" s="5">
        <f t="shared" si="44"/>
        <v>2218</v>
      </c>
      <c r="L545" s="5">
        <f>IF(Table1[[#This Row],[Total_System_Load]]&gt;80%*AVERAGE(Table1[Total_System_Load]),Table1[[#This Row],[Total_System_Load]]-Table1[[#This Row],[Total_Children_Under_Care]],0)</f>
        <v>0</v>
      </c>
      <c r="M545" s="5">
        <f t="shared" si="40"/>
        <v>3</v>
      </c>
      <c r="N545" s="5">
        <f>M546-Table1[[#This Row],[Net_Daily_Intake]]</f>
        <v>-8</v>
      </c>
      <c r="O545" s="5">
        <f>M546-Table1[[#This Row],[Net_Daily_Intake]]/Table1[[#This Row],[Net_Daily_Intake]]</f>
        <v>-6</v>
      </c>
      <c r="P545" t="str">
        <f>IF(Table1[[#This Row],[Change_in_Net_Daily_Intake]]&gt;0,"Sustained Positive","Negative")</f>
        <v>Negative</v>
      </c>
      <c r="Q545" s="1">
        <f>(Table1[[#This Row],[Total_System_Load]]-Table1[[#This Row],[Total_Children_Under_Care]])/Table1[[#This Row],[Total_Children_Under_Care]]*100</f>
        <v>1.3711151736745886</v>
      </c>
      <c r="R545" s="1">
        <f>(Table1[[#This Row],[Children_discharged _from_HHS_ Care]]/Table1[[#This Row],[Children_transferred_out_of_CBP_custody]])</f>
        <v>0.625</v>
      </c>
    </row>
    <row r="546" spans="1:18" x14ac:dyDescent="0.3">
      <c r="A546">
        <v>545</v>
      </c>
      <c r="B546" s="7">
        <v>45748</v>
      </c>
      <c r="C546" s="5">
        <v>17</v>
      </c>
      <c r="D546" s="5">
        <v>36</v>
      </c>
      <c r="E546" s="5">
        <v>7</v>
      </c>
      <c r="F546" s="5">
        <v>2191</v>
      </c>
      <c r="G546" s="5">
        <v>12</v>
      </c>
      <c r="H546" t="str">
        <f t="shared" si="41"/>
        <v>Valid</v>
      </c>
      <c r="I546" t="str">
        <f t="shared" si="42"/>
        <v>Valid</v>
      </c>
      <c r="J546" s="5">
        <f t="shared" si="43"/>
        <v>2179</v>
      </c>
      <c r="K546" s="5">
        <f t="shared" si="44"/>
        <v>2227</v>
      </c>
      <c r="L546" s="5">
        <f>IF(Table1[[#This Row],[Total_System_Load]]&gt;80%*AVERAGE(Table1[Total_System_Load]),Table1[[#This Row],[Total_System_Load]]-Table1[[#This Row],[Total_Children_Under_Care]],0)</f>
        <v>0</v>
      </c>
      <c r="M546" s="5">
        <f t="shared" si="40"/>
        <v>-5</v>
      </c>
      <c r="N546" s="5">
        <f>M547-Table1[[#This Row],[Net_Daily_Intake]]</f>
        <v>18</v>
      </c>
      <c r="O546" s="5">
        <f>M547-Table1[[#This Row],[Net_Daily_Intake]]/Table1[[#This Row],[Net_Daily_Intake]]</f>
        <v>12</v>
      </c>
      <c r="P546" t="str">
        <f>IF(Table1[[#This Row],[Change_in_Net_Daily_Intake]]&gt;0,"Sustained Positive","Negative")</f>
        <v>Sustained Positive</v>
      </c>
      <c r="Q546" s="1">
        <f>(Table1[[#This Row],[Total_System_Load]]-Table1[[#This Row],[Total_Children_Under_Care]])/Table1[[#This Row],[Total_Children_Under_Care]]*100</f>
        <v>2.2028453418999541</v>
      </c>
      <c r="R546" s="1">
        <f>(Table1[[#This Row],[Children_discharged _from_HHS_ Care]]/Table1[[#This Row],[Children_transferred_out_of_CBP_custody]])</f>
        <v>1.7142857142857142</v>
      </c>
    </row>
    <row r="547" spans="1:18" x14ac:dyDescent="0.3">
      <c r="A547">
        <v>546</v>
      </c>
      <c r="B547" s="7">
        <v>45749</v>
      </c>
      <c r="C547" s="5">
        <v>5</v>
      </c>
      <c r="D547" s="5">
        <v>31</v>
      </c>
      <c r="E547" s="5">
        <v>16</v>
      </c>
      <c r="F547" s="5">
        <v>2208</v>
      </c>
      <c r="G547" s="5">
        <v>3</v>
      </c>
      <c r="H547" t="str">
        <f t="shared" si="41"/>
        <v>Valid</v>
      </c>
      <c r="I547" t="str">
        <f t="shared" si="42"/>
        <v>Valid</v>
      </c>
      <c r="J547" s="5">
        <f t="shared" si="43"/>
        <v>2205</v>
      </c>
      <c r="K547" s="5">
        <f t="shared" si="44"/>
        <v>2239</v>
      </c>
      <c r="L547" s="5">
        <f>IF(Table1[[#This Row],[Total_System_Load]]&gt;80%*AVERAGE(Table1[Total_System_Load]),Table1[[#This Row],[Total_System_Load]]-Table1[[#This Row],[Total_Children_Under_Care]],0)</f>
        <v>0</v>
      </c>
      <c r="M547" s="5">
        <f t="shared" si="40"/>
        <v>13</v>
      </c>
      <c r="N547" s="5">
        <f>M548-Table1[[#This Row],[Net_Daily_Intake]]</f>
        <v>-3</v>
      </c>
      <c r="O547" s="5">
        <f>M548-Table1[[#This Row],[Net_Daily_Intake]]/Table1[[#This Row],[Net_Daily_Intake]]</f>
        <v>9</v>
      </c>
      <c r="P547" t="str">
        <f>IF(Table1[[#This Row],[Change_in_Net_Daily_Intake]]&gt;0,"Sustained Positive","Negative")</f>
        <v>Negative</v>
      </c>
      <c r="Q547" s="1">
        <f>(Table1[[#This Row],[Total_System_Load]]-Table1[[#This Row],[Total_Children_Under_Care]])/Table1[[#This Row],[Total_Children_Under_Care]]*100</f>
        <v>1.5419501133786848</v>
      </c>
      <c r="R547" s="1">
        <f>(Table1[[#This Row],[Children_discharged _from_HHS_ Care]]/Table1[[#This Row],[Children_transferred_out_of_CBP_custody]])</f>
        <v>0.1875</v>
      </c>
    </row>
    <row r="548" spans="1:18" x14ac:dyDescent="0.3">
      <c r="A548">
        <v>547</v>
      </c>
      <c r="B548" s="7">
        <v>45750</v>
      </c>
      <c r="C548" s="5">
        <v>12</v>
      </c>
      <c r="D548" s="5">
        <v>26</v>
      </c>
      <c r="E548" s="5">
        <v>18</v>
      </c>
      <c r="F548" s="5">
        <v>2223</v>
      </c>
      <c r="G548" s="5">
        <v>8</v>
      </c>
      <c r="H548" t="str">
        <f t="shared" si="41"/>
        <v>Valid</v>
      </c>
      <c r="I548" t="str">
        <f t="shared" si="42"/>
        <v>Valid</v>
      </c>
      <c r="J548" s="5">
        <f t="shared" si="43"/>
        <v>2215</v>
      </c>
      <c r="K548" s="5">
        <f t="shared" si="44"/>
        <v>2249</v>
      </c>
      <c r="L548" s="5">
        <f>IF(Table1[[#This Row],[Total_System_Load]]&gt;80%*AVERAGE(Table1[Total_System_Load]),Table1[[#This Row],[Total_System_Load]]-Table1[[#This Row],[Total_Children_Under_Care]],0)</f>
        <v>0</v>
      </c>
      <c r="M548" s="5">
        <f t="shared" si="40"/>
        <v>10</v>
      </c>
      <c r="N548" s="5">
        <f>M549-Table1[[#This Row],[Net_Daily_Intake]]</f>
        <v>-14</v>
      </c>
      <c r="O548" s="5">
        <f>M549-Table1[[#This Row],[Net_Daily_Intake]]/Table1[[#This Row],[Net_Daily_Intake]]</f>
        <v>-5</v>
      </c>
      <c r="P548" t="str">
        <f>IF(Table1[[#This Row],[Change_in_Net_Daily_Intake]]&gt;0,"Sustained Positive","Negative")</f>
        <v>Negative</v>
      </c>
      <c r="Q548" s="1">
        <f>(Table1[[#This Row],[Total_System_Load]]-Table1[[#This Row],[Total_Children_Under_Care]])/Table1[[#This Row],[Total_Children_Under_Care]]*100</f>
        <v>1.5349887133182845</v>
      </c>
      <c r="R548" s="1">
        <f>(Table1[[#This Row],[Children_discharged _from_HHS_ Care]]/Table1[[#This Row],[Children_transferred_out_of_CBP_custody]])</f>
        <v>0.44444444444444442</v>
      </c>
    </row>
    <row r="549" spans="1:18" x14ac:dyDescent="0.3">
      <c r="A549">
        <v>548</v>
      </c>
      <c r="B549" s="7">
        <v>45753</v>
      </c>
      <c r="C549" s="5">
        <v>7</v>
      </c>
      <c r="D549" s="5">
        <v>14</v>
      </c>
      <c r="E549" s="5">
        <v>7</v>
      </c>
      <c r="F549" s="5">
        <v>2234</v>
      </c>
      <c r="G549" s="5">
        <v>11</v>
      </c>
      <c r="H549" t="str">
        <f t="shared" si="41"/>
        <v>Valid</v>
      </c>
      <c r="I549" t="str">
        <f t="shared" si="42"/>
        <v>Valid</v>
      </c>
      <c r="J549" s="5">
        <f t="shared" si="43"/>
        <v>2223</v>
      </c>
      <c r="K549" s="5">
        <f t="shared" si="44"/>
        <v>2248</v>
      </c>
      <c r="L549" s="5">
        <f>IF(Table1[[#This Row],[Total_System_Load]]&gt;80%*AVERAGE(Table1[Total_System_Load]),Table1[[#This Row],[Total_System_Load]]-Table1[[#This Row],[Total_Children_Under_Care]],0)</f>
        <v>0</v>
      </c>
      <c r="M549" s="5">
        <f t="shared" si="40"/>
        <v>-4</v>
      </c>
      <c r="N549" s="5">
        <f>M550-Table1[[#This Row],[Net_Daily_Intake]]</f>
        <v>8</v>
      </c>
      <c r="O549" s="5">
        <f>M550-Table1[[#This Row],[Net_Daily_Intake]]/Table1[[#This Row],[Net_Daily_Intake]]</f>
        <v>3</v>
      </c>
      <c r="P549" t="str">
        <f>IF(Table1[[#This Row],[Change_in_Net_Daily_Intake]]&gt;0,"Sustained Positive","Negative")</f>
        <v>Sustained Positive</v>
      </c>
      <c r="Q549" s="1">
        <f>(Table1[[#This Row],[Total_System_Load]]-Table1[[#This Row],[Total_Children_Under_Care]])/Table1[[#This Row],[Total_Children_Under_Care]]*100</f>
        <v>1.1246063877642825</v>
      </c>
      <c r="R549" s="1">
        <f>(Table1[[#This Row],[Children_discharged _from_HHS_ Care]]/Table1[[#This Row],[Children_transferred_out_of_CBP_custody]])</f>
        <v>1.5714285714285714</v>
      </c>
    </row>
    <row r="550" spans="1:18" x14ac:dyDescent="0.3">
      <c r="A550">
        <v>549</v>
      </c>
      <c r="B550" s="7">
        <v>45754</v>
      </c>
      <c r="C550" s="5">
        <v>12</v>
      </c>
      <c r="D550" s="5">
        <v>22</v>
      </c>
      <c r="E550" s="5">
        <v>9</v>
      </c>
      <c r="F550" s="5">
        <v>2237</v>
      </c>
      <c r="G550" s="5">
        <v>5</v>
      </c>
      <c r="H550" t="str">
        <f t="shared" si="41"/>
        <v>Valid</v>
      </c>
      <c r="I550" t="str">
        <f t="shared" si="42"/>
        <v>Valid</v>
      </c>
      <c r="J550" s="5">
        <f t="shared" si="43"/>
        <v>2232</v>
      </c>
      <c r="K550" s="5">
        <f t="shared" si="44"/>
        <v>2259</v>
      </c>
      <c r="L550" s="5">
        <f>IF(Table1[[#This Row],[Total_System_Load]]&gt;80%*AVERAGE(Table1[Total_System_Load]),Table1[[#This Row],[Total_System_Load]]-Table1[[#This Row],[Total_Children_Under_Care]],0)</f>
        <v>0</v>
      </c>
      <c r="M550" s="5">
        <f t="shared" si="40"/>
        <v>4</v>
      </c>
      <c r="N550" s="5">
        <f>M551-Table1[[#This Row],[Net_Daily_Intake]]</f>
        <v>-1</v>
      </c>
      <c r="O550" s="5">
        <f>M551-Table1[[#This Row],[Net_Daily_Intake]]/Table1[[#This Row],[Net_Daily_Intake]]</f>
        <v>2</v>
      </c>
      <c r="P550" t="str">
        <f>IF(Table1[[#This Row],[Change_in_Net_Daily_Intake]]&gt;0,"Sustained Positive","Negative")</f>
        <v>Negative</v>
      </c>
      <c r="Q550" s="1">
        <f>(Table1[[#This Row],[Total_System_Load]]-Table1[[#This Row],[Total_Children_Under_Care]])/Table1[[#This Row],[Total_Children_Under_Care]]*100</f>
        <v>1.2096774193548387</v>
      </c>
      <c r="R550" s="1">
        <f>(Table1[[#This Row],[Children_discharged _from_HHS_ Care]]/Table1[[#This Row],[Children_transferred_out_of_CBP_custody]])</f>
        <v>0.55555555555555558</v>
      </c>
    </row>
    <row r="551" spans="1:18" x14ac:dyDescent="0.3">
      <c r="A551">
        <v>550</v>
      </c>
      <c r="B551" s="7">
        <v>45755</v>
      </c>
      <c r="C551" s="5">
        <v>12</v>
      </c>
      <c r="D551" s="5">
        <v>34</v>
      </c>
      <c r="E551" s="5">
        <v>12</v>
      </c>
      <c r="F551" s="5">
        <v>2243</v>
      </c>
      <c r="G551" s="5">
        <v>9</v>
      </c>
      <c r="H551" t="str">
        <f t="shared" si="41"/>
        <v>Valid</v>
      </c>
      <c r="I551" t="str">
        <f t="shared" si="42"/>
        <v>Valid</v>
      </c>
      <c r="J551" s="5">
        <f t="shared" si="43"/>
        <v>2234</v>
      </c>
      <c r="K551" s="5">
        <f t="shared" si="44"/>
        <v>2277</v>
      </c>
      <c r="L551" s="5">
        <f>IF(Table1[[#This Row],[Total_System_Load]]&gt;80%*AVERAGE(Table1[Total_System_Load]),Table1[[#This Row],[Total_System_Load]]-Table1[[#This Row],[Total_Children_Under_Care]],0)</f>
        <v>0</v>
      </c>
      <c r="M551" s="5">
        <f t="shared" si="40"/>
        <v>3</v>
      </c>
      <c r="N551" s="5">
        <f>M552-Table1[[#This Row],[Net_Daily_Intake]]</f>
        <v>2</v>
      </c>
      <c r="O551" s="5">
        <f>M552-Table1[[#This Row],[Net_Daily_Intake]]/Table1[[#This Row],[Net_Daily_Intake]]</f>
        <v>4</v>
      </c>
      <c r="P551" t="str">
        <f>IF(Table1[[#This Row],[Change_in_Net_Daily_Intake]]&gt;0,"Sustained Positive","Negative")</f>
        <v>Sustained Positive</v>
      </c>
      <c r="Q551" s="1">
        <f>(Table1[[#This Row],[Total_System_Load]]-Table1[[#This Row],[Total_Children_Under_Care]])/Table1[[#This Row],[Total_Children_Under_Care]]*100</f>
        <v>1.9247985675917636</v>
      </c>
      <c r="R551" s="1">
        <f>(Table1[[#This Row],[Children_discharged _from_HHS_ Care]]/Table1[[#This Row],[Children_transferred_out_of_CBP_custody]])</f>
        <v>0.75</v>
      </c>
    </row>
    <row r="552" spans="1:18" x14ac:dyDescent="0.3">
      <c r="A552">
        <v>551</v>
      </c>
      <c r="B552" s="7">
        <v>45756</v>
      </c>
      <c r="C552" s="5">
        <v>6</v>
      </c>
      <c r="D552" s="5">
        <v>19</v>
      </c>
      <c r="E552" s="5">
        <v>10</v>
      </c>
      <c r="F552" s="5">
        <v>2251</v>
      </c>
      <c r="G552" s="5">
        <v>5</v>
      </c>
      <c r="H552" t="str">
        <f t="shared" si="41"/>
        <v>Valid</v>
      </c>
      <c r="I552" t="str">
        <f t="shared" si="42"/>
        <v>Valid</v>
      </c>
      <c r="J552" s="5">
        <f t="shared" si="43"/>
        <v>2246</v>
      </c>
      <c r="K552" s="5">
        <f t="shared" si="44"/>
        <v>2270</v>
      </c>
      <c r="L552" s="5">
        <f>IF(Table1[[#This Row],[Total_System_Load]]&gt;80%*AVERAGE(Table1[Total_System_Load]),Table1[[#This Row],[Total_System_Load]]-Table1[[#This Row],[Total_Children_Under_Care]],0)</f>
        <v>0</v>
      </c>
      <c r="M552" s="5">
        <f t="shared" si="40"/>
        <v>5</v>
      </c>
      <c r="N552" s="5">
        <f>M553-Table1[[#This Row],[Net_Daily_Intake]]</f>
        <v>6</v>
      </c>
      <c r="O552" s="5">
        <f>M553-Table1[[#This Row],[Net_Daily_Intake]]/Table1[[#This Row],[Net_Daily_Intake]]</f>
        <v>10</v>
      </c>
      <c r="P552" t="str">
        <f>IF(Table1[[#This Row],[Change_in_Net_Daily_Intake]]&gt;0,"Sustained Positive","Negative")</f>
        <v>Sustained Positive</v>
      </c>
      <c r="Q552" s="1">
        <f>(Table1[[#This Row],[Total_System_Load]]-Table1[[#This Row],[Total_Children_Under_Care]])/Table1[[#This Row],[Total_Children_Under_Care]]*100</f>
        <v>1.068566340160285</v>
      </c>
      <c r="R552" s="1">
        <f>(Table1[[#This Row],[Children_discharged _from_HHS_ Care]]/Table1[[#This Row],[Children_transferred_out_of_CBP_custody]])</f>
        <v>0.5</v>
      </c>
    </row>
    <row r="553" spans="1:18" x14ac:dyDescent="0.3">
      <c r="A553">
        <v>552</v>
      </c>
      <c r="B553" s="7">
        <v>45757</v>
      </c>
      <c r="C553" s="5">
        <v>18</v>
      </c>
      <c r="D553" s="5">
        <v>25</v>
      </c>
      <c r="E553" s="5">
        <v>17</v>
      </c>
      <c r="F553" s="5">
        <v>2265</v>
      </c>
      <c r="G553" s="5">
        <v>6</v>
      </c>
      <c r="H553" t="str">
        <f t="shared" si="41"/>
        <v>Valid</v>
      </c>
      <c r="I553" t="str">
        <f t="shared" si="42"/>
        <v>Valid</v>
      </c>
      <c r="J553" s="5">
        <f t="shared" si="43"/>
        <v>2259</v>
      </c>
      <c r="K553" s="5">
        <f t="shared" si="44"/>
        <v>2290</v>
      </c>
      <c r="L553" s="5">
        <f>IF(Table1[[#This Row],[Total_System_Load]]&gt;80%*AVERAGE(Table1[Total_System_Load]),Table1[[#This Row],[Total_System_Load]]-Table1[[#This Row],[Total_Children_Under_Care]],0)</f>
        <v>0</v>
      </c>
      <c r="M553" s="5">
        <f t="shared" si="40"/>
        <v>11</v>
      </c>
      <c r="N553" s="5">
        <f>M554-Table1[[#This Row],[Net_Daily_Intake]]</f>
        <v>-12</v>
      </c>
      <c r="O553" s="5">
        <f>M554-Table1[[#This Row],[Net_Daily_Intake]]/Table1[[#This Row],[Net_Daily_Intake]]</f>
        <v>-2</v>
      </c>
      <c r="P553" t="str">
        <f>IF(Table1[[#This Row],[Change_in_Net_Daily_Intake]]&gt;0,"Sustained Positive","Negative")</f>
        <v>Negative</v>
      </c>
      <c r="Q553" s="1">
        <f>(Table1[[#This Row],[Total_System_Load]]-Table1[[#This Row],[Total_Children_Under_Care]])/Table1[[#This Row],[Total_Children_Under_Care]]*100</f>
        <v>1.3722886232846392</v>
      </c>
      <c r="R553" s="1">
        <f>(Table1[[#This Row],[Children_discharged _from_HHS_ Care]]/Table1[[#This Row],[Children_transferred_out_of_CBP_custody]])</f>
        <v>0.35294117647058826</v>
      </c>
    </row>
    <row r="554" spans="1:18" x14ac:dyDescent="0.3">
      <c r="A554">
        <v>553</v>
      </c>
      <c r="B554" s="7">
        <v>45758</v>
      </c>
      <c r="C554" s="5">
        <v>8</v>
      </c>
      <c r="D554" s="5">
        <v>22</v>
      </c>
      <c r="E554" s="5">
        <v>8</v>
      </c>
      <c r="F554" s="5">
        <v>2267</v>
      </c>
      <c r="G554" s="5">
        <v>9</v>
      </c>
      <c r="H554" t="str">
        <f t="shared" si="41"/>
        <v>Valid</v>
      </c>
      <c r="I554" t="str">
        <f t="shared" si="42"/>
        <v>Valid</v>
      </c>
      <c r="J554" s="5">
        <f t="shared" si="43"/>
        <v>2258</v>
      </c>
      <c r="K554" s="5">
        <f t="shared" si="44"/>
        <v>2289</v>
      </c>
      <c r="L554" s="5">
        <f>IF(Table1[[#This Row],[Total_System_Load]]&gt;80%*AVERAGE(Table1[Total_System_Load]),Table1[[#This Row],[Total_System_Load]]-Table1[[#This Row],[Total_Children_Under_Care]],0)</f>
        <v>0</v>
      </c>
      <c r="M554" s="5">
        <f t="shared" si="40"/>
        <v>-1</v>
      </c>
      <c r="N554" s="5">
        <f>M555-Table1[[#This Row],[Net_Daily_Intake]]</f>
        <v>8</v>
      </c>
      <c r="O554" s="5">
        <f>M555-Table1[[#This Row],[Net_Daily_Intake]]/Table1[[#This Row],[Net_Daily_Intake]]</f>
        <v>6</v>
      </c>
      <c r="P554" t="str">
        <f>IF(Table1[[#This Row],[Change_in_Net_Daily_Intake]]&gt;0,"Sustained Positive","Negative")</f>
        <v>Sustained Positive</v>
      </c>
      <c r="Q554" s="1">
        <f>(Table1[[#This Row],[Total_System_Load]]-Table1[[#This Row],[Total_Children_Under_Care]])/Table1[[#This Row],[Total_Children_Under_Care]]*100</f>
        <v>1.3728963684676705</v>
      </c>
      <c r="R554" s="1">
        <f>(Table1[[#This Row],[Children_discharged _from_HHS_ Care]]/Table1[[#This Row],[Children_transferred_out_of_CBP_custody]])</f>
        <v>1.125</v>
      </c>
    </row>
    <row r="555" spans="1:18" x14ac:dyDescent="0.3">
      <c r="A555">
        <v>554</v>
      </c>
      <c r="B555" s="7">
        <v>45760</v>
      </c>
      <c r="C555" s="5">
        <v>5</v>
      </c>
      <c r="D555" s="5">
        <v>26</v>
      </c>
      <c r="E555" s="5">
        <v>10</v>
      </c>
      <c r="F555" s="5">
        <v>2283</v>
      </c>
      <c r="G555" s="5">
        <v>3</v>
      </c>
      <c r="H555" t="str">
        <f t="shared" si="41"/>
        <v>Valid</v>
      </c>
      <c r="I555" t="str">
        <f t="shared" si="42"/>
        <v>Valid</v>
      </c>
      <c r="J555" s="5">
        <f t="shared" si="43"/>
        <v>2280</v>
      </c>
      <c r="K555" s="5">
        <f t="shared" si="44"/>
        <v>2309</v>
      </c>
      <c r="L555" s="5">
        <f>IF(Table1[[#This Row],[Total_System_Load]]&gt;80%*AVERAGE(Table1[Total_System_Load]),Table1[[#This Row],[Total_System_Load]]-Table1[[#This Row],[Total_Children_Under_Care]],0)</f>
        <v>0</v>
      </c>
      <c r="M555" s="5">
        <f t="shared" si="40"/>
        <v>7</v>
      </c>
      <c r="N555" s="5">
        <f>M556-Table1[[#This Row],[Net_Daily_Intake]]</f>
        <v>-11</v>
      </c>
      <c r="O555" s="5">
        <f>M556-Table1[[#This Row],[Net_Daily_Intake]]/Table1[[#This Row],[Net_Daily_Intake]]</f>
        <v>-5</v>
      </c>
      <c r="P555" t="str">
        <f>IF(Table1[[#This Row],[Change_in_Net_Daily_Intake]]&gt;0,"Sustained Positive","Negative")</f>
        <v>Negative</v>
      </c>
      <c r="Q555" s="1">
        <f>(Table1[[#This Row],[Total_System_Load]]-Table1[[#This Row],[Total_Children_Under_Care]])/Table1[[#This Row],[Total_Children_Under_Care]]*100</f>
        <v>1.2719298245614035</v>
      </c>
      <c r="R555" s="1">
        <f>(Table1[[#This Row],[Children_discharged _from_HHS_ Care]]/Table1[[#This Row],[Children_transferred_out_of_CBP_custody]])</f>
        <v>0.3</v>
      </c>
    </row>
    <row r="556" spans="1:18" x14ac:dyDescent="0.3">
      <c r="A556">
        <v>555</v>
      </c>
      <c r="B556" s="7">
        <v>45761</v>
      </c>
      <c r="C556" s="5">
        <v>5</v>
      </c>
      <c r="D556" s="5">
        <v>26</v>
      </c>
      <c r="E556" s="5">
        <v>9</v>
      </c>
      <c r="F556" s="5">
        <v>2282</v>
      </c>
      <c r="G556" s="5">
        <v>13</v>
      </c>
      <c r="H556" t="str">
        <f t="shared" si="41"/>
        <v>Valid</v>
      </c>
      <c r="I556" t="str">
        <f t="shared" si="42"/>
        <v>Valid</v>
      </c>
      <c r="J556" s="5">
        <f t="shared" si="43"/>
        <v>2269</v>
      </c>
      <c r="K556" s="5">
        <f t="shared" si="44"/>
        <v>2308</v>
      </c>
      <c r="L556" s="5">
        <f>IF(Table1[[#This Row],[Total_System_Load]]&gt;80%*AVERAGE(Table1[Total_System_Load]),Table1[[#This Row],[Total_System_Load]]-Table1[[#This Row],[Total_Children_Under_Care]],0)</f>
        <v>0</v>
      </c>
      <c r="M556" s="5">
        <f t="shared" si="40"/>
        <v>-4</v>
      </c>
      <c r="N556" s="5">
        <f>M557-Table1[[#This Row],[Net_Daily_Intake]]</f>
        <v>9</v>
      </c>
      <c r="O556" s="5">
        <f>M557-Table1[[#This Row],[Net_Daily_Intake]]/Table1[[#This Row],[Net_Daily_Intake]]</f>
        <v>4</v>
      </c>
      <c r="P556" t="str">
        <f>IF(Table1[[#This Row],[Change_in_Net_Daily_Intake]]&gt;0,"Sustained Positive","Negative")</f>
        <v>Sustained Positive</v>
      </c>
      <c r="Q556" s="1">
        <f>(Table1[[#This Row],[Total_System_Load]]-Table1[[#This Row],[Total_Children_Under_Care]])/Table1[[#This Row],[Total_Children_Under_Care]]*100</f>
        <v>1.7188188629352137</v>
      </c>
      <c r="R556" s="1">
        <f>(Table1[[#This Row],[Children_discharged _from_HHS_ Care]]/Table1[[#This Row],[Children_transferred_out_of_CBP_custody]])</f>
        <v>1.4444444444444444</v>
      </c>
    </row>
    <row r="557" spans="1:18" x14ac:dyDescent="0.3">
      <c r="A557">
        <v>556</v>
      </c>
      <c r="B557" s="7">
        <v>45762</v>
      </c>
      <c r="C557" s="5">
        <v>4</v>
      </c>
      <c r="D557" s="5">
        <v>19</v>
      </c>
      <c r="E557" s="5">
        <v>12</v>
      </c>
      <c r="F557" s="5">
        <v>2286</v>
      </c>
      <c r="G557" s="5">
        <v>7</v>
      </c>
      <c r="H557" t="str">
        <f t="shared" si="41"/>
        <v>Valid</v>
      </c>
      <c r="I557" t="str">
        <f t="shared" si="42"/>
        <v>Valid</v>
      </c>
      <c r="J557" s="5">
        <f t="shared" si="43"/>
        <v>2279</v>
      </c>
      <c r="K557" s="5">
        <f t="shared" si="44"/>
        <v>2305</v>
      </c>
      <c r="L557" s="5">
        <f>IF(Table1[[#This Row],[Total_System_Load]]&gt;80%*AVERAGE(Table1[Total_System_Load]),Table1[[#This Row],[Total_System_Load]]-Table1[[#This Row],[Total_Children_Under_Care]],0)</f>
        <v>0</v>
      </c>
      <c r="M557" s="5">
        <f t="shared" si="40"/>
        <v>5</v>
      </c>
      <c r="N557" s="5">
        <f>M558-Table1[[#This Row],[Net_Daily_Intake]]</f>
        <v>-8</v>
      </c>
      <c r="O557" s="5">
        <f>M558-Table1[[#This Row],[Net_Daily_Intake]]/Table1[[#This Row],[Net_Daily_Intake]]</f>
        <v>-4</v>
      </c>
      <c r="P557" t="str">
        <f>IF(Table1[[#This Row],[Change_in_Net_Daily_Intake]]&gt;0,"Sustained Positive","Negative")</f>
        <v>Negative</v>
      </c>
      <c r="Q557" s="1">
        <f>(Table1[[#This Row],[Total_System_Load]]-Table1[[#This Row],[Total_Children_Under_Care]])/Table1[[#This Row],[Total_Children_Under_Care]]*100</f>
        <v>1.1408512505484862</v>
      </c>
      <c r="R557" s="1">
        <f>(Table1[[#This Row],[Children_discharged _from_HHS_ Care]]/Table1[[#This Row],[Children_transferred_out_of_CBP_custody]])</f>
        <v>0.58333333333333337</v>
      </c>
    </row>
    <row r="558" spans="1:18" x14ac:dyDescent="0.3">
      <c r="A558">
        <v>557</v>
      </c>
      <c r="B558" s="7">
        <v>45763</v>
      </c>
      <c r="C558" s="5">
        <v>11</v>
      </c>
      <c r="D558" s="5">
        <v>30</v>
      </c>
      <c r="E558" s="5">
        <v>5</v>
      </c>
      <c r="F558" s="5">
        <v>2291</v>
      </c>
      <c r="G558" s="5">
        <v>8</v>
      </c>
      <c r="H558" t="str">
        <f t="shared" si="41"/>
        <v>Valid</v>
      </c>
      <c r="I558" t="str">
        <f t="shared" si="42"/>
        <v>Valid</v>
      </c>
      <c r="J558" s="5">
        <f t="shared" si="43"/>
        <v>2283</v>
      </c>
      <c r="K558" s="5">
        <f t="shared" si="44"/>
        <v>2321</v>
      </c>
      <c r="L558" s="5">
        <f>IF(Table1[[#This Row],[Total_System_Load]]&gt;80%*AVERAGE(Table1[Total_System_Load]),Table1[[#This Row],[Total_System_Load]]-Table1[[#This Row],[Total_Children_Under_Care]],0)</f>
        <v>0</v>
      </c>
      <c r="M558" s="5">
        <f t="shared" si="40"/>
        <v>-3</v>
      </c>
      <c r="N558" s="5">
        <f>M559-Table1[[#This Row],[Net_Daily_Intake]]</f>
        <v>-1</v>
      </c>
      <c r="O558" s="5">
        <f>M559-Table1[[#This Row],[Net_Daily_Intake]]/Table1[[#This Row],[Net_Daily_Intake]]</f>
        <v>-5</v>
      </c>
      <c r="P558" t="str">
        <f>IF(Table1[[#This Row],[Change_in_Net_Daily_Intake]]&gt;0,"Sustained Positive","Negative")</f>
        <v>Negative</v>
      </c>
      <c r="Q558" s="1">
        <f>(Table1[[#This Row],[Total_System_Load]]-Table1[[#This Row],[Total_Children_Under_Care]])/Table1[[#This Row],[Total_Children_Under_Care]]*100</f>
        <v>1.6644765659220324</v>
      </c>
      <c r="R558" s="1">
        <f>(Table1[[#This Row],[Children_discharged _from_HHS_ Care]]/Table1[[#This Row],[Children_transferred_out_of_CBP_custody]])</f>
        <v>1.6</v>
      </c>
    </row>
    <row r="559" spans="1:18" x14ac:dyDescent="0.3">
      <c r="A559">
        <v>558</v>
      </c>
      <c r="B559" s="7">
        <v>45764</v>
      </c>
      <c r="C559" s="5">
        <v>7</v>
      </c>
      <c r="D559" s="5">
        <v>26</v>
      </c>
      <c r="E559" s="5">
        <v>10</v>
      </c>
      <c r="F559" s="5">
        <v>2288</v>
      </c>
      <c r="G559" s="5">
        <v>14</v>
      </c>
      <c r="H559" t="str">
        <f t="shared" si="41"/>
        <v>Valid</v>
      </c>
      <c r="I559" t="str">
        <f t="shared" si="42"/>
        <v>Valid</v>
      </c>
      <c r="J559" s="5">
        <f t="shared" si="43"/>
        <v>2274</v>
      </c>
      <c r="K559" s="5">
        <f t="shared" si="44"/>
        <v>2314</v>
      </c>
      <c r="L559" s="5">
        <f>IF(Table1[[#This Row],[Total_System_Load]]&gt;80%*AVERAGE(Table1[Total_System_Load]),Table1[[#This Row],[Total_System_Load]]-Table1[[#This Row],[Total_Children_Under_Care]],0)</f>
        <v>0</v>
      </c>
      <c r="M559" s="5">
        <f t="shared" si="40"/>
        <v>-4</v>
      </c>
      <c r="N559" s="5">
        <f>M560-Table1[[#This Row],[Net_Daily_Intake]]</f>
        <v>6</v>
      </c>
      <c r="O559" s="5">
        <f>M560-Table1[[#This Row],[Net_Daily_Intake]]/Table1[[#This Row],[Net_Daily_Intake]]</f>
        <v>1</v>
      </c>
      <c r="P559" t="str">
        <f>IF(Table1[[#This Row],[Change_in_Net_Daily_Intake]]&gt;0,"Sustained Positive","Negative")</f>
        <v>Sustained Positive</v>
      </c>
      <c r="Q559" s="1">
        <f>(Table1[[#This Row],[Total_System_Load]]-Table1[[#This Row],[Total_Children_Under_Care]])/Table1[[#This Row],[Total_Children_Under_Care]]*100</f>
        <v>1.759014951627089</v>
      </c>
      <c r="R559" s="1">
        <f>(Table1[[#This Row],[Children_discharged _from_HHS_ Care]]/Table1[[#This Row],[Children_transferred_out_of_CBP_custody]])</f>
        <v>1.4</v>
      </c>
    </row>
    <row r="560" spans="1:18" x14ac:dyDescent="0.3">
      <c r="A560">
        <v>559</v>
      </c>
      <c r="B560" s="7">
        <v>45767</v>
      </c>
      <c r="C560" s="5">
        <v>4</v>
      </c>
      <c r="D560" s="5">
        <v>15</v>
      </c>
      <c r="E560" s="5">
        <v>6</v>
      </c>
      <c r="F560" s="5">
        <v>2305</v>
      </c>
      <c r="G560" s="5">
        <v>4</v>
      </c>
      <c r="H560" t="str">
        <f t="shared" si="41"/>
        <v>Valid</v>
      </c>
      <c r="I560" t="str">
        <f t="shared" si="42"/>
        <v>Valid</v>
      </c>
      <c r="J560" s="5">
        <f t="shared" si="43"/>
        <v>2301</v>
      </c>
      <c r="K560" s="5">
        <f t="shared" si="44"/>
        <v>2320</v>
      </c>
      <c r="L560" s="5">
        <f>IF(Table1[[#This Row],[Total_System_Load]]&gt;80%*AVERAGE(Table1[Total_System_Load]),Table1[[#This Row],[Total_System_Load]]-Table1[[#This Row],[Total_Children_Under_Care]],0)</f>
        <v>0</v>
      </c>
      <c r="M560" s="5">
        <f t="shared" si="40"/>
        <v>2</v>
      </c>
      <c r="N560" s="5">
        <f>M561-Table1[[#This Row],[Net_Daily_Intake]]</f>
        <v>-3</v>
      </c>
      <c r="O560" s="5">
        <f>M561-Table1[[#This Row],[Net_Daily_Intake]]/Table1[[#This Row],[Net_Daily_Intake]]</f>
        <v>-2</v>
      </c>
      <c r="P560" t="str">
        <f>IF(Table1[[#This Row],[Change_in_Net_Daily_Intake]]&gt;0,"Sustained Positive","Negative")</f>
        <v>Negative</v>
      </c>
      <c r="Q560" s="1">
        <f>(Table1[[#This Row],[Total_System_Load]]-Table1[[#This Row],[Total_Children_Under_Care]])/Table1[[#This Row],[Total_Children_Under_Care]]*100</f>
        <v>0.82572794437201225</v>
      </c>
      <c r="R560" s="1">
        <f>(Table1[[#This Row],[Children_discharged _from_HHS_ Care]]/Table1[[#This Row],[Children_transferred_out_of_CBP_custody]])</f>
        <v>0.66666666666666663</v>
      </c>
    </row>
    <row r="561" spans="1:18" x14ac:dyDescent="0.3">
      <c r="A561">
        <v>560</v>
      </c>
      <c r="B561" s="7">
        <v>45768</v>
      </c>
      <c r="C561" s="5">
        <v>10</v>
      </c>
      <c r="D561" s="5">
        <v>25</v>
      </c>
      <c r="E561" s="5">
        <v>5</v>
      </c>
      <c r="F561" s="5">
        <v>2308</v>
      </c>
      <c r="G561" s="5">
        <v>6</v>
      </c>
      <c r="H561" t="str">
        <f t="shared" si="41"/>
        <v>Valid</v>
      </c>
      <c r="I561" t="str">
        <f t="shared" si="42"/>
        <v>Valid</v>
      </c>
      <c r="J561" s="5">
        <f t="shared" si="43"/>
        <v>2302</v>
      </c>
      <c r="K561" s="5">
        <f t="shared" si="44"/>
        <v>2333</v>
      </c>
      <c r="L561" s="5">
        <f>IF(Table1[[#This Row],[Total_System_Load]]&gt;80%*AVERAGE(Table1[Total_System_Load]),Table1[[#This Row],[Total_System_Load]]-Table1[[#This Row],[Total_Children_Under_Care]],0)</f>
        <v>0</v>
      </c>
      <c r="M561" s="5">
        <f t="shared" si="40"/>
        <v>-1</v>
      </c>
      <c r="N561" s="5">
        <f>M562-Table1[[#This Row],[Net_Daily_Intake]]</f>
        <v>-2</v>
      </c>
      <c r="O561" s="5">
        <f>M562-Table1[[#This Row],[Net_Daily_Intake]]/Table1[[#This Row],[Net_Daily_Intake]]</f>
        <v>-4</v>
      </c>
      <c r="P561" t="str">
        <f>IF(Table1[[#This Row],[Change_in_Net_Daily_Intake]]&gt;0,"Sustained Positive","Negative")</f>
        <v>Negative</v>
      </c>
      <c r="Q561" s="1">
        <f>(Table1[[#This Row],[Total_System_Load]]-Table1[[#This Row],[Total_Children_Under_Care]])/Table1[[#This Row],[Total_Children_Under_Care]]*100</f>
        <v>1.3466550825369243</v>
      </c>
      <c r="R561" s="1">
        <f>(Table1[[#This Row],[Children_discharged _from_HHS_ Care]]/Table1[[#This Row],[Children_transferred_out_of_CBP_custody]])</f>
        <v>1.2</v>
      </c>
    </row>
    <row r="562" spans="1:18" x14ac:dyDescent="0.3">
      <c r="A562">
        <v>561</v>
      </c>
      <c r="B562" s="7">
        <v>45769</v>
      </c>
      <c r="C562" s="5">
        <v>7</v>
      </c>
      <c r="D562" s="5">
        <v>19</v>
      </c>
      <c r="E562" s="5">
        <v>14</v>
      </c>
      <c r="F562" s="5">
        <v>2305</v>
      </c>
      <c r="G562" s="5">
        <v>17</v>
      </c>
      <c r="H562" t="str">
        <f t="shared" si="41"/>
        <v>Valid</v>
      </c>
      <c r="I562" t="str">
        <f t="shared" si="42"/>
        <v>Valid</v>
      </c>
      <c r="J562" s="5">
        <f t="shared" si="43"/>
        <v>2288</v>
      </c>
      <c r="K562" s="5">
        <f t="shared" si="44"/>
        <v>2324</v>
      </c>
      <c r="L562" s="5">
        <f>IF(Table1[[#This Row],[Total_System_Load]]&gt;80%*AVERAGE(Table1[Total_System_Load]),Table1[[#This Row],[Total_System_Load]]-Table1[[#This Row],[Total_Children_Under_Care]],0)</f>
        <v>0</v>
      </c>
      <c r="M562" s="5">
        <f t="shared" si="40"/>
        <v>-3</v>
      </c>
      <c r="N562" s="5">
        <f>M563-Table1[[#This Row],[Net_Daily_Intake]]</f>
        <v>-4</v>
      </c>
      <c r="O562" s="5">
        <f>M563-Table1[[#This Row],[Net_Daily_Intake]]/Table1[[#This Row],[Net_Daily_Intake]]</f>
        <v>-8</v>
      </c>
      <c r="P562" t="str">
        <f>IF(Table1[[#This Row],[Change_in_Net_Daily_Intake]]&gt;0,"Sustained Positive","Negative")</f>
        <v>Negative</v>
      </c>
      <c r="Q562" s="1">
        <f>(Table1[[#This Row],[Total_System_Load]]-Table1[[#This Row],[Total_Children_Under_Care]])/Table1[[#This Row],[Total_Children_Under_Care]]*100</f>
        <v>1.5734265734265735</v>
      </c>
      <c r="R562" s="1">
        <f>(Table1[[#This Row],[Children_discharged _from_HHS_ Care]]/Table1[[#This Row],[Children_transferred_out_of_CBP_custody]])</f>
        <v>1.2142857142857142</v>
      </c>
    </row>
    <row r="563" spans="1:18" x14ac:dyDescent="0.3">
      <c r="A563">
        <v>562</v>
      </c>
      <c r="B563" s="7">
        <v>45770</v>
      </c>
      <c r="C563" s="5">
        <v>3</v>
      </c>
      <c r="D563" s="5">
        <v>23</v>
      </c>
      <c r="E563" s="5">
        <v>4</v>
      </c>
      <c r="F563" s="5">
        <v>2300</v>
      </c>
      <c r="G563" s="5">
        <v>11</v>
      </c>
      <c r="H563" t="str">
        <f t="shared" si="41"/>
        <v>Valid</v>
      </c>
      <c r="I563" t="str">
        <f t="shared" si="42"/>
        <v>Valid</v>
      </c>
      <c r="J563" s="5">
        <f t="shared" si="43"/>
        <v>2289</v>
      </c>
      <c r="K563" s="5">
        <f t="shared" si="44"/>
        <v>2323</v>
      </c>
      <c r="L563" s="5">
        <f>IF(Table1[[#This Row],[Total_System_Load]]&gt;80%*AVERAGE(Table1[Total_System_Load]),Table1[[#This Row],[Total_System_Load]]-Table1[[#This Row],[Total_Children_Under_Care]],0)</f>
        <v>0</v>
      </c>
      <c r="M563" s="5">
        <f t="shared" si="40"/>
        <v>-7</v>
      </c>
      <c r="N563" s="5">
        <f>M564-Table1[[#This Row],[Net_Daily_Intake]]</f>
        <v>1</v>
      </c>
      <c r="O563" s="5">
        <f>M564-Table1[[#This Row],[Net_Daily_Intake]]/Table1[[#This Row],[Net_Daily_Intake]]</f>
        <v>-7</v>
      </c>
      <c r="P563" t="str">
        <f>IF(Table1[[#This Row],[Change_in_Net_Daily_Intake]]&gt;0,"Sustained Positive","Negative")</f>
        <v>Sustained Positive</v>
      </c>
      <c r="Q563" s="1">
        <f>(Table1[[#This Row],[Total_System_Load]]-Table1[[#This Row],[Total_Children_Under_Care]])/Table1[[#This Row],[Total_Children_Under_Care]]*100</f>
        <v>1.4853647881170817</v>
      </c>
      <c r="R563" s="1">
        <f>(Table1[[#This Row],[Children_discharged _from_HHS_ Care]]/Table1[[#This Row],[Children_transferred_out_of_CBP_custody]])</f>
        <v>2.75</v>
      </c>
    </row>
    <row r="564" spans="1:18" x14ac:dyDescent="0.3">
      <c r="A564">
        <v>563</v>
      </c>
      <c r="B564" s="7">
        <v>45771</v>
      </c>
      <c r="C564" s="5">
        <v>3</v>
      </c>
      <c r="D564" s="5">
        <v>9</v>
      </c>
      <c r="E564" s="5">
        <v>7</v>
      </c>
      <c r="F564" s="5">
        <v>2294</v>
      </c>
      <c r="G564" s="5">
        <v>13</v>
      </c>
      <c r="H564" t="str">
        <f t="shared" si="41"/>
        <v>Valid</v>
      </c>
      <c r="I564" t="str">
        <f t="shared" si="42"/>
        <v>Valid</v>
      </c>
      <c r="J564" s="5">
        <f t="shared" si="43"/>
        <v>2281</v>
      </c>
      <c r="K564" s="5">
        <f t="shared" si="44"/>
        <v>2303</v>
      </c>
      <c r="L564" s="5">
        <f>IF(Table1[[#This Row],[Total_System_Load]]&gt;80%*AVERAGE(Table1[Total_System_Load]),Table1[[#This Row],[Total_System_Load]]-Table1[[#This Row],[Total_Children_Under_Care]],0)</f>
        <v>0</v>
      </c>
      <c r="M564" s="5">
        <f t="shared" si="40"/>
        <v>-6</v>
      </c>
      <c r="N564" s="5">
        <f>M565-Table1[[#This Row],[Net_Daily_Intake]]</f>
        <v>14</v>
      </c>
      <c r="O564" s="5">
        <f>M565-Table1[[#This Row],[Net_Daily_Intake]]/Table1[[#This Row],[Net_Daily_Intake]]</f>
        <v>7</v>
      </c>
      <c r="P564" t="str">
        <f>IF(Table1[[#This Row],[Change_in_Net_Daily_Intake]]&gt;0,"Sustained Positive","Negative")</f>
        <v>Sustained Positive</v>
      </c>
      <c r="Q564" s="1">
        <f>(Table1[[#This Row],[Total_System_Load]]-Table1[[#This Row],[Total_Children_Under_Care]])/Table1[[#This Row],[Total_Children_Under_Care]]*100</f>
        <v>0.96448925909688732</v>
      </c>
      <c r="R564" s="1">
        <f>(Table1[[#This Row],[Children_discharged _from_HHS_ Care]]/Table1[[#This Row],[Children_transferred_out_of_CBP_custody]])</f>
        <v>1.8571428571428572</v>
      </c>
    </row>
    <row r="565" spans="1:18" x14ac:dyDescent="0.3">
      <c r="A565">
        <v>564</v>
      </c>
      <c r="B565" s="7">
        <v>45774</v>
      </c>
      <c r="C565" s="5">
        <v>9</v>
      </c>
      <c r="D565" s="5">
        <v>40</v>
      </c>
      <c r="E565" s="5">
        <v>12</v>
      </c>
      <c r="F565" s="5">
        <v>2301</v>
      </c>
      <c r="G565" s="5">
        <v>4</v>
      </c>
      <c r="H565" t="str">
        <f t="shared" si="41"/>
        <v>Valid</v>
      </c>
      <c r="I565" t="str">
        <f t="shared" si="42"/>
        <v>Valid</v>
      </c>
      <c r="J565" s="5">
        <f t="shared" si="43"/>
        <v>2297</v>
      </c>
      <c r="K565" s="5">
        <f t="shared" si="44"/>
        <v>2341</v>
      </c>
      <c r="L565" s="5">
        <f>IF(Table1[[#This Row],[Total_System_Load]]&gt;80%*AVERAGE(Table1[Total_System_Load]),Table1[[#This Row],[Total_System_Load]]-Table1[[#This Row],[Total_Children_Under_Care]],0)</f>
        <v>0</v>
      </c>
      <c r="M565" s="5">
        <f t="shared" si="40"/>
        <v>8</v>
      </c>
      <c r="N565" s="5">
        <f>M566-Table1[[#This Row],[Net_Daily_Intake]]</f>
        <v>-4</v>
      </c>
      <c r="O565" s="5">
        <f>M566-Table1[[#This Row],[Net_Daily_Intake]]/Table1[[#This Row],[Net_Daily_Intake]]</f>
        <v>3</v>
      </c>
      <c r="P565" t="str">
        <f>IF(Table1[[#This Row],[Change_in_Net_Daily_Intake]]&gt;0,"Sustained Positive","Negative")</f>
        <v>Negative</v>
      </c>
      <c r="Q565" s="1">
        <f>(Table1[[#This Row],[Total_System_Load]]-Table1[[#This Row],[Total_Children_Under_Care]])/Table1[[#This Row],[Total_Children_Under_Care]]*100</f>
        <v>1.9155420113191119</v>
      </c>
      <c r="R565" s="1">
        <f>(Table1[[#This Row],[Children_discharged _from_HHS_ Care]]/Table1[[#This Row],[Children_transferred_out_of_CBP_custody]])</f>
        <v>0.33333333333333331</v>
      </c>
    </row>
    <row r="566" spans="1:18" x14ac:dyDescent="0.3">
      <c r="A566">
        <v>565</v>
      </c>
      <c r="B566" s="7">
        <v>45775</v>
      </c>
      <c r="C566" s="5">
        <v>6</v>
      </c>
      <c r="D566" s="5">
        <v>26</v>
      </c>
      <c r="E566" s="5">
        <v>12</v>
      </c>
      <c r="F566" s="5">
        <v>2307</v>
      </c>
      <c r="G566" s="5">
        <v>8</v>
      </c>
      <c r="H566" t="str">
        <f t="shared" si="41"/>
        <v>Valid</v>
      </c>
      <c r="I566" t="str">
        <f t="shared" si="42"/>
        <v>Valid</v>
      </c>
      <c r="J566" s="5">
        <f t="shared" si="43"/>
        <v>2299</v>
      </c>
      <c r="K566" s="5">
        <f t="shared" si="44"/>
        <v>2333</v>
      </c>
      <c r="L566" s="5">
        <f>IF(Table1[[#This Row],[Total_System_Load]]&gt;80%*AVERAGE(Table1[Total_System_Load]),Table1[[#This Row],[Total_System_Load]]-Table1[[#This Row],[Total_Children_Under_Care]],0)</f>
        <v>0</v>
      </c>
      <c r="M566" s="5">
        <f t="shared" si="40"/>
        <v>4</v>
      </c>
      <c r="N566" s="5">
        <f>M567-Table1[[#This Row],[Net_Daily_Intake]]</f>
        <v>-8</v>
      </c>
      <c r="O566" s="5">
        <f>M567-Table1[[#This Row],[Net_Daily_Intake]]/Table1[[#This Row],[Net_Daily_Intake]]</f>
        <v>-5</v>
      </c>
      <c r="P566" t="str">
        <f>IF(Table1[[#This Row],[Change_in_Net_Daily_Intake]]&gt;0,"Sustained Positive","Negative")</f>
        <v>Negative</v>
      </c>
      <c r="Q566" s="1">
        <f>(Table1[[#This Row],[Total_System_Load]]-Table1[[#This Row],[Total_Children_Under_Care]])/Table1[[#This Row],[Total_Children_Under_Care]]*100</f>
        <v>1.4789038712483689</v>
      </c>
      <c r="R566" s="1">
        <f>(Table1[[#This Row],[Children_discharged _from_HHS_ Care]]/Table1[[#This Row],[Children_transferred_out_of_CBP_custody]])</f>
        <v>0.66666666666666663</v>
      </c>
    </row>
    <row r="567" spans="1:18" x14ac:dyDescent="0.3">
      <c r="A567">
        <v>566</v>
      </c>
      <c r="B567" s="7">
        <v>45776</v>
      </c>
      <c r="C567" s="5">
        <v>11</v>
      </c>
      <c r="D567" s="5">
        <v>25</v>
      </c>
      <c r="E567" s="5">
        <v>11</v>
      </c>
      <c r="F567" s="5">
        <v>2304</v>
      </c>
      <c r="G567" s="5">
        <v>15</v>
      </c>
      <c r="H567" t="str">
        <f t="shared" si="41"/>
        <v>Valid</v>
      </c>
      <c r="I567" t="str">
        <f t="shared" si="42"/>
        <v>Valid</v>
      </c>
      <c r="J567" s="5">
        <f t="shared" si="43"/>
        <v>2289</v>
      </c>
      <c r="K567" s="5">
        <f t="shared" si="44"/>
        <v>2329</v>
      </c>
      <c r="L567" s="5">
        <f>IF(Table1[[#This Row],[Total_System_Load]]&gt;80%*AVERAGE(Table1[Total_System_Load]),Table1[[#This Row],[Total_System_Load]]-Table1[[#This Row],[Total_Children_Under_Care]],0)</f>
        <v>0</v>
      </c>
      <c r="M567" s="5">
        <f t="shared" si="40"/>
        <v>-4</v>
      </c>
      <c r="N567" s="5">
        <f>M568-Table1[[#This Row],[Net_Daily_Intake]]</f>
        <v>1</v>
      </c>
      <c r="O567" s="5">
        <f>M568-Table1[[#This Row],[Net_Daily_Intake]]/Table1[[#This Row],[Net_Daily_Intake]]</f>
        <v>-4</v>
      </c>
      <c r="P567" t="str">
        <f>IF(Table1[[#This Row],[Change_in_Net_Daily_Intake]]&gt;0,"Sustained Positive","Negative")</f>
        <v>Sustained Positive</v>
      </c>
      <c r="Q567" s="1">
        <f>(Table1[[#This Row],[Total_System_Load]]-Table1[[#This Row],[Total_Children_Under_Care]])/Table1[[#This Row],[Total_Children_Under_Care]]*100</f>
        <v>1.747487986020096</v>
      </c>
      <c r="R567" s="1">
        <f>(Table1[[#This Row],[Children_discharged _from_HHS_ Care]]/Table1[[#This Row],[Children_transferred_out_of_CBP_custody]])</f>
        <v>1.3636363636363635</v>
      </c>
    </row>
    <row r="568" spans="1:18" x14ac:dyDescent="0.3">
      <c r="A568">
        <v>567</v>
      </c>
      <c r="B568" s="7">
        <v>45777</v>
      </c>
      <c r="C568" s="5">
        <v>7</v>
      </c>
      <c r="D568" s="5">
        <v>34</v>
      </c>
      <c r="E568" s="5">
        <v>9</v>
      </c>
      <c r="F568" s="5">
        <v>2309</v>
      </c>
      <c r="G568" s="5">
        <v>12</v>
      </c>
      <c r="H568" t="str">
        <f t="shared" si="41"/>
        <v>Valid</v>
      </c>
      <c r="I568" t="str">
        <f t="shared" si="42"/>
        <v>Valid</v>
      </c>
      <c r="J568" s="5">
        <f t="shared" si="43"/>
        <v>2297</v>
      </c>
      <c r="K568" s="5">
        <f t="shared" si="44"/>
        <v>2343</v>
      </c>
      <c r="L568" s="5">
        <f>IF(Table1[[#This Row],[Total_System_Load]]&gt;80%*AVERAGE(Table1[Total_System_Load]),Table1[[#This Row],[Total_System_Load]]-Table1[[#This Row],[Total_Children_Under_Care]],0)</f>
        <v>0</v>
      </c>
      <c r="M568" s="5">
        <f t="shared" si="40"/>
        <v>-3</v>
      </c>
      <c r="N568" s="5">
        <f>M569-Table1[[#This Row],[Net_Daily_Intake]]</f>
        <v>1</v>
      </c>
      <c r="O568" s="5">
        <f>M569-Table1[[#This Row],[Net_Daily_Intake]]/Table1[[#This Row],[Net_Daily_Intake]]</f>
        <v>-3</v>
      </c>
      <c r="P568" t="str">
        <f>IF(Table1[[#This Row],[Change_in_Net_Daily_Intake]]&gt;0,"Sustained Positive","Negative")</f>
        <v>Sustained Positive</v>
      </c>
      <c r="Q568" s="1">
        <f>(Table1[[#This Row],[Total_System_Load]]-Table1[[#This Row],[Total_Children_Under_Care]])/Table1[[#This Row],[Total_Children_Under_Care]]*100</f>
        <v>2.0026121027427077</v>
      </c>
      <c r="R568" s="1">
        <f>(Table1[[#This Row],[Children_discharged _from_HHS_ Care]]/Table1[[#This Row],[Children_transferred_out_of_CBP_custody]])</f>
        <v>1.3333333333333333</v>
      </c>
    </row>
    <row r="569" spans="1:18" x14ac:dyDescent="0.3">
      <c r="A569">
        <v>568</v>
      </c>
      <c r="B569" s="7">
        <v>45778</v>
      </c>
      <c r="C569" s="5">
        <v>13</v>
      </c>
      <c r="D569" s="5">
        <v>32</v>
      </c>
      <c r="E569" s="5">
        <v>14</v>
      </c>
      <c r="F569" s="5">
        <v>2306</v>
      </c>
      <c r="G569" s="5">
        <v>16</v>
      </c>
      <c r="H569" t="str">
        <f t="shared" si="41"/>
        <v>Valid</v>
      </c>
      <c r="I569" t="str">
        <f t="shared" si="42"/>
        <v>Valid</v>
      </c>
      <c r="J569" s="5">
        <f t="shared" si="43"/>
        <v>2290</v>
      </c>
      <c r="K569" s="5">
        <f t="shared" si="44"/>
        <v>2338</v>
      </c>
      <c r="L569" s="5">
        <f>IF(Table1[[#This Row],[Total_System_Load]]&gt;80%*AVERAGE(Table1[Total_System_Load]),Table1[[#This Row],[Total_System_Load]]-Table1[[#This Row],[Total_Children_Under_Care]],0)</f>
        <v>0</v>
      </c>
      <c r="M569" s="5">
        <f t="shared" si="40"/>
        <v>-2</v>
      </c>
      <c r="N569" s="5">
        <f>M570-Table1[[#This Row],[Net_Daily_Intake]]</f>
        <v>7</v>
      </c>
      <c r="O569" s="5">
        <f>M570-Table1[[#This Row],[Net_Daily_Intake]]/Table1[[#This Row],[Net_Daily_Intake]]</f>
        <v>4</v>
      </c>
      <c r="P569" t="str">
        <f>IF(Table1[[#This Row],[Change_in_Net_Daily_Intake]]&gt;0,"Sustained Positive","Negative")</f>
        <v>Sustained Positive</v>
      </c>
      <c r="Q569" s="1">
        <f>(Table1[[#This Row],[Total_System_Load]]-Table1[[#This Row],[Total_Children_Under_Care]])/Table1[[#This Row],[Total_Children_Under_Care]]*100</f>
        <v>2.0960698689956332</v>
      </c>
      <c r="R569" s="1">
        <f>(Table1[[#This Row],[Children_discharged _from_HHS_ Care]]/Table1[[#This Row],[Children_transferred_out_of_CBP_custody]])</f>
        <v>1.1428571428571428</v>
      </c>
    </row>
    <row r="570" spans="1:18" x14ac:dyDescent="0.3">
      <c r="A570">
        <v>569</v>
      </c>
      <c r="B570" s="7">
        <v>45781</v>
      </c>
      <c r="C570" s="5">
        <v>9</v>
      </c>
      <c r="D570" s="5">
        <v>31</v>
      </c>
      <c r="E570" s="5">
        <v>10</v>
      </c>
      <c r="F570" s="5">
        <v>2335</v>
      </c>
      <c r="G570" s="5">
        <v>5</v>
      </c>
      <c r="H570" t="str">
        <f t="shared" si="41"/>
        <v>Valid</v>
      </c>
      <c r="I570" t="str">
        <f t="shared" si="42"/>
        <v>Valid</v>
      </c>
      <c r="J570" s="5">
        <f t="shared" si="43"/>
        <v>2330</v>
      </c>
      <c r="K570" s="5">
        <f t="shared" si="44"/>
        <v>2366</v>
      </c>
      <c r="L570" s="5">
        <f>IF(Table1[[#This Row],[Total_System_Load]]&gt;80%*AVERAGE(Table1[Total_System_Load]),Table1[[#This Row],[Total_System_Load]]-Table1[[#This Row],[Total_Children_Under_Care]],0)</f>
        <v>0</v>
      </c>
      <c r="M570" s="5">
        <f t="shared" si="40"/>
        <v>5</v>
      </c>
      <c r="N570" s="5">
        <f>M571-Table1[[#This Row],[Net_Daily_Intake]]</f>
        <v>-2</v>
      </c>
      <c r="O570" s="5">
        <f>M571-Table1[[#This Row],[Net_Daily_Intake]]/Table1[[#This Row],[Net_Daily_Intake]]</f>
        <v>2</v>
      </c>
      <c r="P570" t="str">
        <f>IF(Table1[[#This Row],[Change_in_Net_Daily_Intake]]&gt;0,"Sustained Positive","Negative")</f>
        <v>Negative</v>
      </c>
      <c r="Q570" s="1">
        <f>(Table1[[#This Row],[Total_System_Load]]-Table1[[#This Row],[Total_Children_Under_Care]])/Table1[[#This Row],[Total_Children_Under_Care]]*100</f>
        <v>1.5450643776824033</v>
      </c>
      <c r="R570" s="1">
        <f>(Table1[[#This Row],[Children_discharged _from_HHS_ Care]]/Table1[[#This Row],[Children_transferred_out_of_CBP_custody]])</f>
        <v>0.5</v>
      </c>
    </row>
    <row r="571" spans="1:18" x14ac:dyDescent="0.3">
      <c r="A571">
        <v>570</v>
      </c>
      <c r="B571" s="7">
        <v>45782</v>
      </c>
      <c r="C571" s="5">
        <v>15</v>
      </c>
      <c r="D571" s="5">
        <v>44</v>
      </c>
      <c r="E571" s="5">
        <v>20</v>
      </c>
      <c r="F571" s="5">
        <v>2331</v>
      </c>
      <c r="G571" s="5">
        <v>17</v>
      </c>
      <c r="H571" t="str">
        <f t="shared" si="41"/>
        <v>Valid</v>
      </c>
      <c r="I571" t="str">
        <f t="shared" si="42"/>
        <v>Valid</v>
      </c>
      <c r="J571" s="5">
        <f t="shared" si="43"/>
        <v>2314</v>
      </c>
      <c r="K571" s="5">
        <f t="shared" si="44"/>
        <v>2375</v>
      </c>
      <c r="L571" s="5">
        <f>IF(Table1[[#This Row],[Total_System_Load]]&gt;80%*AVERAGE(Table1[Total_System_Load]),Table1[[#This Row],[Total_System_Load]]-Table1[[#This Row],[Total_Children_Under_Care]],0)</f>
        <v>0</v>
      </c>
      <c r="M571" s="5">
        <f t="shared" si="40"/>
        <v>3</v>
      </c>
      <c r="N571" s="5">
        <f>M572-Table1[[#This Row],[Net_Daily_Intake]]</f>
        <v>-3</v>
      </c>
      <c r="O571" s="5">
        <f>M572-Table1[[#This Row],[Net_Daily_Intake]]/Table1[[#This Row],[Net_Daily_Intake]]</f>
        <v>-1</v>
      </c>
      <c r="P571" t="str">
        <f>IF(Table1[[#This Row],[Change_in_Net_Daily_Intake]]&gt;0,"Sustained Positive","Negative")</f>
        <v>Negative</v>
      </c>
      <c r="Q571" s="1">
        <f>(Table1[[#This Row],[Total_System_Load]]-Table1[[#This Row],[Total_Children_Under_Care]])/Table1[[#This Row],[Total_Children_Under_Care]]*100</f>
        <v>2.6361279170267933</v>
      </c>
      <c r="R571" s="1">
        <f>(Table1[[#This Row],[Children_discharged _from_HHS_ Care]]/Table1[[#This Row],[Children_transferred_out_of_CBP_custody]])</f>
        <v>0.85</v>
      </c>
    </row>
    <row r="572" spans="1:18" x14ac:dyDescent="0.3">
      <c r="A572">
        <v>571</v>
      </c>
      <c r="B572" s="7">
        <v>45783</v>
      </c>
      <c r="C572" s="5">
        <v>10</v>
      </c>
      <c r="D572" s="5">
        <v>33</v>
      </c>
      <c r="E572" s="5">
        <v>16</v>
      </c>
      <c r="F572" s="5">
        <v>2339</v>
      </c>
      <c r="G572" s="5">
        <v>16</v>
      </c>
      <c r="H572" t="str">
        <f t="shared" si="41"/>
        <v>Valid</v>
      </c>
      <c r="I572" t="str">
        <f t="shared" si="42"/>
        <v>Valid</v>
      </c>
      <c r="J572" s="5">
        <f t="shared" si="43"/>
        <v>2323</v>
      </c>
      <c r="K572" s="5">
        <f t="shared" si="44"/>
        <v>2372</v>
      </c>
      <c r="L572" s="5">
        <f>IF(Table1[[#This Row],[Total_System_Load]]&gt;80%*AVERAGE(Table1[Total_System_Load]),Table1[[#This Row],[Total_System_Load]]-Table1[[#This Row],[Total_Children_Under_Care]],0)</f>
        <v>0</v>
      </c>
      <c r="M572" s="5">
        <f t="shared" si="40"/>
        <v>0</v>
      </c>
      <c r="N572" s="5">
        <f>M573-Table1[[#This Row],[Net_Daily_Intake]]</f>
        <v>5</v>
      </c>
      <c r="O572" s="5">
        <v>0</v>
      </c>
      <c r="P572" t="str">
        <f>IF(Table1[[#This Row],[Change_in_Net_Daily_Intake]]&gt;0,"Sustained Positive","Negative")</f>
        <v>Sustained Positive</v>
      </c>
      <c r="Q572" s="1">
        <f>(Table1[[#This Row],[Total_System_Load]]-Table1[[#This Row],[Total_Children_Under_Care]])/Table1[[#This Row],[Total_Children_Under_Care]]*100</f>
        <v>2.1093413689195004</v>
      </c>
      <c r="R572" s="1">
        <f>(Table1[[#This Row],[Children_discharged _from_HHS_ Care]]/Table1[[#This Row],[Children_transferred_out_of_CBP_custody]])</f>
        <v>1</v>
      </c>
    </row>
    <row r="573" spans="1:18" x14ac:dyDescent="0.3">
      <c r="A573">
        <v>572</v>
      </c>
      <c r="B573" s="7">
        <v>45784</v>
      </c>
      <c r="C573" s="5">
        <v>10</v>
      </c>
      <c r="D573" s="5">
        <v>30</v>
      </c>
      <c r="E573" s="5">
        <v>15</v>
      </c>
      <c r="F573" s="5">
        <v>2335</v>
      </c>
      <c r="G573" s="5">
        <v>10</v>
      </c>
      <c r="H573" t="str">
        <f t="shared" si="41"/>
        <v>Valid</v>
      </c>
      <c r="I573" t="str">
        <f t="shared" si="42"/>
        <v>Valid</v>
      </c>
      <c r="J573" s="5">
        <f t="shared" si="43"/>
        <v>2325</v>
      </c>
      <c r="K573" s="5">
        <f t="shared" si="44"/>
        <v>2365</v>
      </c>
      <c r="L573" s="5">
        <f>IF(Table1[[#This Row],[Total_System_Load]]&gt;80%*AVERAGE(Table1[Total_System_Load]),Table1[[#This Row],[Total_System_Load]]-Table1[[#This Row],[Total_Children_Under_Care]],0)</f>
        <v>0</v>
      </c>
      <c r="M573" s="5">
        <f t="shared" si="40"/>
        <v>5</v>
      </c>
      <c r="N573" s="5">
        <f>M574-Table1[[#This Row],[Net_Daily_Intake]]</f>
        <v>0</v>
      </c>
      <c r="O573" s="5">
        <f>M574-Table1[[#This Row],[Net_Daily_Intake]]/Table1[[#This Row],[Net_Daily_Intake]]</f>
        <v>4</v>
      </c>
      <c r="P573" t="str">
        <f>IF(Table1[[#This Row],[Change_in_Net_Daily_Intake]]&gt;0,"Sustained Positive","Negative")</f>
        <v>Negative</v>
      </c>
      <c r="Q573" s="1">
        <f>(Table1[[#This Row],[Total_System_Load]]-Table1[[#This Row],[Total_Children_Under_Care]])/Table1[[#This Row],[Total_Children_Under_Care]]*100</f>
        <v>1.7204301075268817</v>
      </c>
      <c r="R573" s="1">
        <f>(Table1[[#This Row],[Children_discharged _from_HHS_ Care]]/Table1[[#This Row],[Children_transferred_out_of_CBP_custody]])</f>
        <v>0.66666666666666663</v>
      </c>
    </row>
    <row r="574" spans="1:18" x14ac:dyDescent="0.3">
      <c r="A574">
        <v>573</v>
      </c>
      <c r="B574" s="7">
        <v>45785</v>
      </c>
      <c r="C574" s="5">
        <v>15</v>
      </c>
      <c r="D574" s="5">
        <v>24</v>
      </c>
      <c r="E574" s="5">
        <v>16</v>
      </c>
      <c r="F574" s="5">
        <v>2361</v>
      </c>
      <c r="G574" s="5">
        <v>11</v>
      </c>
      <c r="H574" t="str">
        <f t="shared" si="41"/>
        <v>Valid</v>
      </c>
      <c r="I574" t="str">
        <f t="shared" si="42"/>
        <v>Valid</v>
      </c>
      <c r="J574" s="5">
        <f t="shared" si="43"/>
        <v>2350</v>
      </c>
      <c r="K574" s="5">
        <f t="shared" si="44"/>
        <v>2385</v>
      </c>
      <c r="L574" s="5">
        <f>IF(Table1[[#This Row],[Total_System_Load]]&gt;80%*AVERAGE(Table1[Total_System_Load]),Table1[[#This Row],[Total_System_Load]]-Table1[[#This Row],[Total_Children_Under_Care]],0)</f>
        <v>0</v>
      </c>
      <c r="M574" s="5">
        <f t="shared" si="40"/>
        <v>5</v>
      </c>
      <c r="N574" s="5">
        <f>M575-Table1[[#This Row],[Net_Daily_Intake]]</f>
        <v>4</v>
      </c>
      <c r="O574" s="5">
        <f>M575-Table1[[#This Row],[Net_Daily_Intake]]/Table1[[#This Row],[Net_Daily_Intake]]</f>
        <v>8</v>
      </c>
      <c r="P574" t="str">
        <f>IF(Table1[[#This Row],[Change_in_Net_Daily_Intake]]&gt;0,"Sustained Positive","Negative")</f>
        <v>Sustained Positive</v>
      </c>
      <c r="Q574" s="1">
        <f>(Table1[[#This Row],[Total_System_Load]]-Table1[[#This Row],[Total_Children_Under_Care]])/Table1[[#This Row],[Total_Children_Under_Care]]*100</f>
        <v>1.4893617021276597</v>
      </c>
      <c r="R574" s="1">
        <f>(Table1[[#This Row],[Children_discharged _from_HHS_ Care]]/Table1[[#This Row],[Children_transferred_out_of_CBP_custody]])</f>
        <v>0.6875</v>
      </c>
    </row>
    <row r="575" spans="1:18" x14ac:dyDescent="0.3">
      <c r="A575">
        <v>574</v>
      </c>
      <c r="B575" s="7">
        <v>45788</v>
      </c>
      <c r="C575" s="5">
        <v>15</v>
      </c>
      <c r="D575" s="5">
        <v>20</v>
      </c>
      <c r="E575" s="5">
        <v>12</v>
      </c>
      <c r="F575" s="5">
        <v>2385</v>
      </c>
      <c r="G575" s="5">
        <v>3</v>
      </c>
      <c r="H575" t="str">
        <f t="shared" si="41"/>
        <v>Valid</v>
      </c>
      <c r="I575" t="str">
        <f t="shared" si="42"/>
        <v>Valid</v>
      </c>
      <c r="J575" s="5">
        <f t="shared" si="43"/>
        <v>2382</v>
      </c>
      <c r="K575" s="5">
        <f t="shared" si="44"/>
        <v>2405</v>
      </c>
      <c r="L575" s="5">
        <f>IF(Table1[[#This Row],[Total_System_Load]]&gt;80%*AVERAGE(Table1[Total_System_Load]),Table1[[#This Row],[Total_System_Load]]-Table1[[#This Row],[Total_Children_Under_Care]],0)</f>
        <v>0</v>
      </c>
      <c r="M575" s="5">
        <f t="shared" si="40"/>
        <v>9</v>
      </c>
      <c r="N575" s="5">
        <f>M576-Table1[[#This Row],[Net_Daily_Intake]]</f>
        <v>-2</v>
      </c>
      <c r="O575" s="5">
        <f>M576-Table1[[#This Row],[Net_Daily_Intake]]/Table1[[#This Row],[Net_Daily_Intake]]</f>
        <v>6</v>
      </c>
      <c r="P575" t="str">
        <f>IF(Table1[[#This Row],[Change_in_Net_Daily_Intake]]&gt;0,"Sustained Positive","Negative")</f>
        <v>Negative</v>
      </c>
      <c r="Q575" s="1">
        <f>(Table1[[#This Row],[Total_System_Load]]-Table1[[#This Row],[Total_Children_Under_Care]])/Table1[[#This Row],[Total_Children_Under_Care]]*100</f>
        <v>0.96557514693534841</v>
      </c>
      <c r="R575" s="1">
        <f>(Table1[[#This Row],[Children_discharged _from_HHS_ Care]]/Table1[[#This Row],[Children_transferred_out_of_CBP_custody]])</f>
        <v>0.25</v>
      </c>
    </row>
    <row r="576" spans="1:18" x14ac:dyDescent="0.3">
      <c r="A576">
        <v>575</v>
      </c>
      <c r="B576" s="7">
        <v>45789</v>
      </c>
      <c r="C576" s="5">
        <v>7</v>
      </c>
      <c r="D576" s="5">
        <v>33</v>
      </c>
      <c r="E576" s="5">
        <v>14</v>
      </c>
      <c r="F576" s="5">
        <v>2392</v>
      </c>
      <c r="G576" s="5">
        <v>7</v>
      </c>
      <c r="H576" t="str">
        <f t="shared" si="41"/>
        <v>Valid</v>
      </c>
      <c r="I576" t="str">
        <f t="shared" si="42"/>
        <v>Valid</v>
      </c>
      <c r="J576" s="5">
        <f t="shared" si="43"/>
        <v>2385</v>
      </c>
      <c r="K576" s="5">
        <f t="shared" si="44"/>
        <v>2425</v>
      </c>
      <c r="L576" s="5">
        <f>IF(Table1[[#This Row],[Total_System_Load]]&gt;80%*AVERAGE(Table1[Total_System_Load]),Table1[[#This Row],[Total_System_Load]]-Table1[[#This Row],[Total_Children_Under_Care]],0)</f>
        <v>0</v>
      </c>
      <c r="M576" s="5">
        <f t="shared" si="40"/>
        <v>7</v>
      </c>
      <c r="N576" s="5">
        <f>M577-Table1[[#This Row],[Net_Daily_Intake]]</f>
        <v>-6</v>
      </c>
      <c r="O576" s="5">
        <f>M577-Table1[[#This Row],[Net_Daily_Intake]]/Table1[[#This Row],[Net_Daily_Intake]]</f>
        <v>0</v>
      </c>
      <c r="P576" t="str">
        <f>IF(Table1[[#This Row],[Change_in_Net_Daily_Intake]]&gt;0,"Sustained Positive","Negative")</f>
        <v>Negative</v>
      </c>
      <c r="Q576" s="1">
        <f>(Table1[[#This Row],[Total_System_Load]]-Table1[[#This Row],[Total_Children_Under_Care]])/Table1[[#This Row],[Total_Children_Under_Care]]*100</f>
        <v>1.6771488469601679</v>
      </c>
      <c r="R576" s="1">
        <f>(Table1[[#This Row],[Children_discharged _from_HHS_ Care]]/Table1[[#This Row],[Children_transferred_out_of_CBP_custody]])</f>
        <v>0.5</v>
      </c>
    </row>
    <row r="577" spans="1:18" x14ac:dyDescent="0.3">
      <c r="A577">
        <v>576</v>
      </c>
      <c r="B577" s="7">
        <v>45790</v>
      </c>
      <c r="C577" s="5">
        <v>18</v>
      </c>
      <c r="D577" s="5">
        <v>29</v>
      </c>
      <c r="E577" s="5">
        <v>12</v>
      </c>
      <c r="F577" s="5">
        <v>2394</v>
      </c>
      <c r="G577" s="5">
        <v>11</v>
      </c>
      <c r="H577" t="str">
        <f t="shared" si="41"/>
        <v>Valid</v>
      </c>
      <c r="I577" t="str">
        <f t="shared" si="42"/>
        <v>Valid</v>
      </c>
      <c r="J577" s="5">
        <f t="shared" si="43"/>
        <v>2383</v>
      </c>
      <c r="K577" s="5">
        <f t="shared" si="44"/>
        <v>2423</v>
      </c>
      <c r="L577" s="5">
        <f>IF(Table1[[#This Row],[Total_System_Load]]&gt;80%*AVERAGE(Table1[Total_System_Load]),Table1[[#This Row],[Total_System_Load]]-Table1[[#This Row],[Total_Children_Under_Care]],0)</f>
        <v>0</v>
      </c>
      <c r="M577" s="5">
        <f t="shared" si="40"/>
        <v>1</v>
      </c>
      <c r="N577" s="5">
        <f>M578-Table1[[#This Row],[Net_Daily_Intake]]</f>
        <v>2</v>
      </c>
      <c r="O577" s="5">
        <f>M578-Table1[[#This Row],[Net_Daily_Intake]]/Table1[[#This Row],[Net_Daily_Intake]]</f>
        <v>2</v>
      </c>
      <c r="P577" t="str">
        <f>IF(Table1[[#This Row],[Change_in_Net_Daily_Intake]]&gt;0,"Sustained Positive","Negative")</f>
        <v>Sustained Positive</v>
      </c>
      <c r="Q577" s="1">
        <f>(Table1[[#This Row],[Total_System_Load]]-Table1[[#This Row],[Total_Children_Under_Care]])/Table1[[#This Row],[Total_Children_Under_Care]]*100</f>
        <v>1.6785564414603442</v>
      </c>
      <c r="R577" s="1">
        <f>(Table1[[#This Row],[Children_discharged _from_HHS_ Care]]/Table1[[#This Row],[Children_transferred_out_of_CBP_custody]])</f>
        <v>0.91666666666666663</v>
      </c>
    </row>
    <row r="578" spans="1:18" x14ac:dyDescent="0.3">
      <c r="A578">
        <v>577</v>
      </c>
      <c r="B578" s="7">
        <v>45791</v>
      </c>
      <c r="C578" s="5">
        <v>7</v>
      </c>
      <c r="D578" s="5">
        <v>30</v>
      </c>
      <c r="E578" s="5">
        <v>14</v>
      </c>
      <c r="F578" s="5">
        <v>2394</v>
      </c>
      <c r="G578" s="5">
        <v>11</v>
      </c>
      <c r="H578" t="str">
        <f t="shared" si="41"/>
        <v>Valid</v>
      </c>
      <c r="I578" t="str">
        <f t="shared" si="42"/>
        <v>Valid</v>
      </c>
      <c r="J578" s="5">
        <f t="shared" si="43"/>
        <v>2383</v>
      </c>
      <c r="K578" s="5">
        <f t="shared" si="44"/>
        <v>2424</v>
      </c>
      <c r="L578" s="5">
        <f>IF(Table1[[#This Row],[Total_System_Load]]&gt;80%*AVERAGE(Table1[Total_System_Load]),Table1[[#This Row],[Total_System_Load]]-Table1[[#This Row],[Total_Children_Under_Care]],0)</f>
        <v>0</v>
      </c>
      <c r="M578" s="5">
        <f t="shared" ref="M578:M641" si="45">E578-G578</f>
        <v>3</v>
      </c>
      <c r="N578" s="5">
        <f>M579-Table1[[#This Row],[Net_Daily_Intake]]</f>
        <v>-3</v>
      </c>
      <c r="O578" s="5">
        <f>M579-Table1[[#This Row],[Net_Daily_Intake]]/Table1[[#This Row],[Net_Daily_Intake]]</f>
        <v>-1</v>
      </c>
      <c r="P578" t="str">
        <f>IF(Table1[[#This Row],[Change_in_Net_Daily_Intake]]&gt;0,"Sustained Positive","Negative")</f>
        <v>Negative</v>
      </c>
      <c r="Q578" s="1">
        <f>(Table1[[#This Row],[Total_System_Load]]-Table1[[#This Row],[Total_Children_Under_Care]])/Table1[[#This Row],[Total_Children_Under_Care]]*100</f>
        <v>1.7205203524968526</v>
      </c>
      <c r="R578" s="1">
        <f>(Table1[[#This Row],[Children_discharged _from_HHS_ Care]]/Table1[[#This Row],[Children_transferred_out_of_CBP_custody]])</f>
        <v>0.7857142857142857</v>
      </c>
    </row>
    <row r="579" spans="1:18" x14ac:dyDescent="0.3">
      <c r="A579">
        <v>578</v>
      </c>
      <c r="B579" s="7">
        <v>45792</v>
      </c>
      <c r="C579" s="5">
        <v>15</v>
      </c>
      <c r="D579" s="5">
        <v>31</v>
      </c>
      <c r="E579" s="5">
        <v>14</v>
      </c>
      <c r="F579" s="5">
        <v>2410</v>
      </c>
      <c r="G579" s="5">
        <v>14</v>
      </c>
      <c r="H579" t="str">
        <f t="shared" ref="H579:H642" si="46">IF(E579&lt;=D579,"Valid","Invalid")</f>
        <v>Valid</v>
      </c>
      <c r="I579" t="str">
        <f t="shared" ref="I579:I642" si="47">IF(G579&lt;=F579,"Valid","Invalid")</f>
        <v>Valid</v>
      </c>
      <c r="J579" s="5">
        <f t="shared" ref="J579:J642" si="48">F579-G579</f>
        <v>2396</v>
      </c>
      <c r="K579" s="5">
        <f t="shared" ref="K579:K642" si="49">D579+F579</f>
        <v>2441</v>
      </c>
      <c r="L579" s="5">
        <f>IF(Table1[[#This Row],[Total_System_Load]]&gt;80%*AVERAGE(Table1[Total_System_Load]),Table1[[#This Row],[Total_System_Load]]-Table1[[#This Row],[Total_Children_Under_Care]],0)</f>
        <v>0</v>
      </c>
      <c r="M579" s="5">
        <f t="shared" si="45"/>
        <v>0</v>
      </c>
      <c r="N579" s="5">
        <f>M580-Table1[[#This Row],[Net_Daily_Intake]]</f>
        <v>5</v>
      </c>
      <c r="O579" s="5">
        <v>0</v>
      </c>
      <c r="P579" t="str">
        <f>IF(Table1[[#This Row],[Change_in_Net_Daily_Intake]]&gt;0,"Sustained Positive","Negative")</f>
        <v>Sustained Positive</v>
      </c>
      <c r="Q579" s="1">
        <f>(Table1[[#This Row],[Total_System_Load]]-Table1[[#This Row],[Total_Children_Under_Care]])/Table1[[#This Row],[Total_Children_Under_Care]]*100</f>
        <v>1.8781302170283807</v>
      </c>
      <c r="R579" s="1">
        <f>(Table1[[#This Row],[Children_discharged _from_HHS_ Care]]/Table1[[#This Row],[Children_transferred_out_of_CBP_custody]])</f>
        <v>1</v>
      </c>
    </row>
    <row r="580" spans="1:18" x14ac:dyDescent="0.3">
      <c r="A580">
        <v>579</v>
      </c>
      <c r="B580" s="7">
        <v>45795</v>
      </c>
      <c r="C580" s="5">
        <v>13</v>
      </c>
      <c r="D580" s="5">
        <v>28</v>
      </c>
      <c r="E580" s="5">
        <v>14</v>
      </c>
      <c r="F580" s="5">
        <v>2437</v>
      </c>
      <c r="G580" s="5">
        <v>9</v>
      </c>
      <c r="H580" t="str">
        <f t="shared" si="46"/>
        <v>Valid</v>
      </c>
      <c r="I580" t="str">
        <f t="shared" si="47"/>
        <v>Valid</v>
      </c>
      <c r="J580" s="5">
        <f t="shared" si="48"/>
        <v>2428</v>
      </c>
      <c r="K580" s="5">
        <f t="shared" si="49"/>
        <v>2465</v>
      </c>
      <c r="L580" s="5">
        <f>IF(Table1[[#This Row],[Total_System_Load]]&gt;80%*AVERAGE(Table1[Total_System_Load]),Table1[[#This Row],[Total_System_Load]]-Table1[[#This Row],[Total_Children_Under_Care]],0)</f>
        <v>0</v>
      </c>
      <c r="M580" s="5">
        <f t="shared" si="45"/>
        <v>5</v>
      </c>
      <c r="N580" s="5">
        <f>M581-Table1[[#This Row],[Net_Daily_Intake]]</f>
        <v>6</v>
      </c>
      <c r="O580" s="5">
        <f>M581-Table1[[#This Row],[Net_Daily_Intake]]/Table1[[#This Row],[Net_Daily_Intake]]</f>
        <v>10</v>
      </c>
      <c r="P580" t="str">
        <f>IF(Table1[[#This Row],[Change_in_Net_Daily_Intake]]&gt;0,"Sustained Positive","Negative")</f>
        <v>Sustained Positive</v>
      </c>
      <c r="Q580" s="1">
        <f>(Table1[[#This Row],[Total_System_Load]]-Table1[[#This Row],[Total_Children_Under_Care]])/Table1[[#This Row],[Total_Children_Under_Care]]*100</f>
        <v>1.5238879736408566</v>
      </c>
      <c r="R580" s="1">
        <f>(Table1[[#This Row],[Children_discharged _from_HHS_ Care]]/Table1[[#This Row],[Children_transferred_out_of_CBP_custody]])</f>
        <v>0.6428571428571429</v>
      </c>
    </row>
    <row r="581" spans="1:18" x14ac:dyDescent="0.3">
      <c r="A581">
        <v>580</v>
      </c>
      <c r="B581" s="7">
        <v>45796</v>
      </c>
      <c r="C581" s="5">
        <v>7</v>
      </c>
      <c r="D581" s="5">
        <v>27</v>
      </c>
      <c r="E581" s="5">
        <v>17</v>
      </c>
      <c r="F581" s="5">
        <v>2457</v>
      </c>
      <c r="G581" s="5">
        <v>6</v>
      </c>
      <c r="H581" t="str">
        <f t="shared" si="46"/>
        <v>Valid</v>
      </c>
      <c r="I581" t="str">
        <f t="shared" si="47"/>
        <v>Valid</v>
      </c>
      <c r="J581" s="5">
        <f t="shared" si="48"/>
        <v>2451</v>
      </c>
      <c r="K581" s="5">
        <f t="shared" si="49"/>
        <v>2484</v>
      </c>
      <c r="L581" s="5">
        <f>IF(Table1[[#This Row],[Total_System_Load]]&gt;80%*AVERAGE(Table1[Total_System_Load]),Table1[[#This Row],[Total_System_Load]]-Table1[[#This Row],[Total_Children_Under_Care]],0)</f>
        <v>0</v>
      </c>
      <c r="M581" s="5">
        <f t="shared" si="45"/>
        <v>11</v>
      </c>
      <c r="N581" s="5">
        <f>M582-Table1[[#This Row],[Net_Daily_Intake]]</f>
        <v>-16</v>
      </c>
      <c r="O581" s="5">
        <f>M582-Table1[[#This Row],[Net_Daily_Intake]]/Table1[[#This Row],[Net_Daily_Intake]]</f>
        <v>-6</v>
      </c>
      <c r="P581" t="str">
        <f>IF(Table1[[#This Row],[Change_in_Net_Daily_Intake]]&gt;0,"Sustained Positive","Negative")</f>
        <v>Negative</v>
      </c>
      <c r="Q581" s="1">
        <f>(Table1[[#This Row],[Total_System_Load]]-Table1[[#This Row],[Total_Children_Under_Care]])/Table1[[#This Row],[Total_Children_Under_Care]]*100</f>
        <v>1.346389228886169</v>
      </c>
      <c r="R581" s="1">
        <f>(Table1[[#This Row],[Children_discharged _from_HHS_ Care]]/Table1[[#This Row],[Children_transferred_out_of_CBP_custody]])</f>
        <v>0.35294117647058826</v>
      </c>
    </row>
    <row r="582" spans="1:18" x14ac:dyDescent="0.3">
      <c r="A582">
        <v>581</v>
      </c>
      <c r="B582" s="7">
        <v>45798</v>
      </c>
      <c r="C582" s="5">
        <v>14</v>
      </c>
      <c r="D582" s="5">
        <v>62</v>
      </c>
      <c r="E582" s="5">
        <v>13</v>
      </c>
      <c r="F582" s="5">
        <v>2467</v>
      </c>
      <c r="G582" s="5">
        <v>18</v>
      </c>
      <c r="H582" t="str">
        <f t="shared" si="46"/>
        <v>Valid</v>
      </c>
      <c r="I582" t="str">
        <f t="shared" si="47"/>
        <v>Valid</v>
      </c>
      <c r="J582" s="5">
        <f t="shared" si="48"/>
        <v>2449</v>
      </c>
      <c r="K582" s="5">
        <f t="shared" si="49"/>
        <v>2529</v>
      </c>
      <c r="L582" s="5">
        <f>IF(Table1[[#This Row],[Total_System_Load]]&gt;80%*AVERAGE(Table1[Total_System_Load]),Table1[[#This Row],[Total_System_Load]]-Table1[[#This Row],[Total_Children_Under_Care]],0)</f>
        <v>0</v>
      </c>
      <c r="M582" s="5">
        <f t="shared" si="45"/>
        <v>-5</v>
      </c>
      <c r="N582" s="5">
        <f>M583-Table1[[#This Row],[Net_Daily_Intake]]</f>
        <v>7</v>
      </c>
      <c r="O582" s="5">
        <f>M583-Table1[[#This Row],[Net_Daily_Intake]]/Table1[[#This Row],[Net_Daily_Intake]]</f>
        <v>1</v>
      </c>
      <c r="P582" t="str">
        <f>IF(Table1[[#This Row],[Change_in_Net_Daily_Intake]]&gt;0,"Sustained Positive","Negative")</f>
        <v>Sustained Positive</v>
      </c>
      <c r="Q582" s="1">
        <f>(Table1[[#This Row],[Total_System_Load]]-Table1[[#This Row],[Total_Children_Under_Care]])/Table1[[#This Row],[Total_Children_Under_Care]]*100</f>
        <v>3.2666394446712945</v>
      </c>
      <c r="R582" s="1">
        <f>(Table1[[#This Row],[Children_discharged _from_HHS_ Care]]/Table1[[#This Row],[Children_transferred_out_of_CBP_custody]])</f>
        <v>1.3846153846153846</v>
      </c>
    </row>
    <row r="583" spans="1:18" x14ac:dyDescent="0.3">
      <c r="A583">
        <v>582</v>
      </c>
      <c r="B583" s="7">
        <v>45799</v>
      </c>
      <c r="C583" s="5">
        <v>18</v>
      </c>
      <c r="D583" s="5">
        <v>36</v>
      </c>
      <c r="E583" s="5">
        <v>17</v>
      </c>
      <c r="F583" s="5">
        <v>2473</v>
      </c>
      <c r="G583" s="5">
        <v>15</v>
      </c>
      <c r="H583" t="str">
        <f t="shared" si="46"/>
        <v>Valid</v>
      </c>
      <c r="I583" t="str">
        <f t="shared" si="47"/>
        <v>Valid</v>
      </c>
      <c r="J583" s="5">
        <f t="shared" si="48"/>
        <v>2458</v>
      </c>
      <c r="K583" s="5">
        <f t="shared" si="49"/>
        <v>2509</v>
      </c>
      <c r="L583" s="5">
        <f>IF(Table1[[#This Row],[Total_System_Load]]&gt;80%*AVERAGE(Table1[Total_System_Load]),Table1[[#This Row],[Total_System_Load]]-Table1[[#This Row],[Total_Children_Under_Care]],0)</f>
        <v>0</v>
      </c>
      <c r="M583" s="5">
        <f t="shared" si="45"/>
        <v>2</v>
      </c>
      <c r="N583" s="5">
        <f>M584-Table1[[#This Row],[Net_Daily_Intake]]</f>
        <v>-6</v>
      </c>
      <c r="O583" s="5">
        <f>M584-Table1[[#This Row],[Net_Daily_Intake]]/Table1[[#This Row],[Net_Daily_Intake]]</f>
        <v>-5</v>
      </c>
      <c r="P583" t="str">
        <f>IF(Table1[[#This Row],[Change_in_Net_Daily_Intake]]&gt;0,"Sustained Positive","Negative")</f>
        <v>Negative</v>
      </c>
      <c r="Q583" s="1">
        <f>(Table1[[#This Row],[Total_System_Load]]-Table1[[#This Row],[Total_Children_Under_Care]])/Table1[[#This Row],[Total_Children_Under_Care]]*100</f>
        <v>2.0748576078112286</v>
      </c>
      <c r="R583" s="1">
        <f>(Table1[[#This Row],[Children_discharged _from_HHS_ Care]]/Table1[[#This Row],[Children_transferred_out_of_CBP_custody]])</f>
        <v>0.88235294117647056</v>
      </c>
    </row>
    <row r="584" spans="1:18" x14ac:dyDescent="0.3">
      <c r="A584">
        <v>583</v>
      </c>
      <c r="B584" s="7">
        <v>45804</v>
      </c>
      <c r="C584" s="5">
        <v>6</v>
      </c>
      <c r="D584" s="5">
        <v>24</v>
      </c>
      <c r="E584" s="5">
        <v>7</v>
      </c>
      <c r="F584" s="5">
        <v>2504</v>
      </c>
      <c r="G584" s="5">
        <v>11</v>
      </c>
      <c r="H584" t="str">
        <f t="shared" si="46"/>
        <v>Valid</v>
      </c>
      <c r="I584" t="str">
        <f t="shared" si="47"/>
        <v>Valid</v>
      </c>
      <c r="J584" s="5">
        <f t="shared" si="48"/>
        <v>2493</v>
      </c>
      <c r="K584" s="5">
        <f t="shared" si="49"/>
        <v>2528</v>
      </c>
      <c r="L584" s="5">
        <f>IF(Table1[[#This Row],[Total_System_Load]]&gt;80%*AVERAGE(Table1[Total_System_Load]),Table1[[#This Row],[Total_System_Load]]-Table1[[#This Row],[Total_Children_Under_Care]],0)</f>
        <v>0</v>
      </c>
      <c r="M584" s="5">
        <f t="shared" si="45"/>
        <v>-4</v>
      </c>
      <c r="N584" s="5">
        <f>M585-Table1[[#This Row],[Net_Daily_Intake]]</f>
        <v>2</v>
      </c>
      <c r="O584" s="5">
        <f>M585-Table1[[#This Row],[Net_Daily_Intake]]/Table1[[#This Row],[Net_Daily_Intake]]</f>
        <v>-3</v>
      </c>
      <c r="P584" t="str">
        <f>IF(Table1[[#This Row],[Change_in_Net_Daily_Intake]]&gt;0,"Sustained Positive","Negative")</f>
        <v>Sustained Positive</v>
      </c>
      <c r="Q584" s="1">
        <f>(Table1[[#This Row],[Total_System_Load]]-Table1[[#This Row],[Total_Children_Under_Care]])/Table1[[#This Row],[Total_Children_Under_Care]]*100</f>
        <v>1.4039310068190936</v>
      </c>
      <c r="R584" s="1">
        <f>(Table1[[#This Row],[Children_discharged _from_HHS_ Care]]/Table1[[#This Row],[Children_transferred_out_of_CBP_custody]])</f>
        <v>1.5714285714285714</v>
      </c>
    </row>
    <row r="585" spans="1:18" x14ac:dyDescent="0.3">
      <c r="A585">
        <v>584</v>
      </c>
      <c r="B585" s="7">
        <v>45805</v>
      </c>
      <c r="C585" s="5">
        <v>12</v>
      </c>
      <c r="D585" s="5">
        <v>39</v>
      </c>
      <c r="E585" s="5">
        <v>12</v>
      </c>
      <c r="F585" s="5">
        <v>2499</v>
      </c>
      <c r="G585" s="5">
        <v>14</v>
      </c>
      <c r="H585" t="str">
        <f t="shared" si="46"/>
        <v>Valid</v>
      </c>
      <c r="I585" t="str">
        <f t="shared" si="47"/>
        <v>Valid</v>
      </c>
      <c r="J585" s="5">
        <f t="shared" si="48"/>
        <v>2485</v>
      </c>
      <c r="K585" s="5">
        <f t="shared" si="49"/>
        <v>2538</v>
      </c>
      <c r="L585" s="5">
        <f>IF(Table1[[#This Row],[Total_System_Load]]&gt;80%*AVERAGE(Table1[Total_System_Load]),Table1[[#This Row],[Total_System_Load]]-Table1[[#This Row],[Total_Children_Under_Care]],0)</f>
        <v>0</v>
      </c>
      <c r="M585" s="5">
        <f t="shared" si="45"/>
        <v>-2</v>
      </c>
      <c r="N585" s="5">
        <f>M586-Table1[[#This Row],[Net_Daily_Intake]]</f>
        <v>6</v>
      </c>
      <c r="O585" s="5">
        <f>M586-Table1[[#This Row],[Net_Daily_Intake]]/Table1[[#This Row],[Net_Daily_Intake]]</f>
        <v>3</v>
      </c>
      <c r="P585" t="str">
        <f>IF(Table1[[#This Row],[Change_in_Net_Daily_Intake]]&gt;0,"Sustained Positive","Negative")</f>
        <v>Sustained Positive</v>
      </c>
      <c r="Q585" s="1">
        <f>(Table1[[#This Row],[Total_System_Load]]-Table1[[#This Row],[Total_Children_Under_Care]])/Table1[[#This Row],[Total_Children_Under_Care]]*100</f>
        <v>2.1327967806841044</v>
      </c>
      <c r="R585" s="1">
        <f>(Table1[[#This Row],[Children_discharged _from_HHS_ Care]]/Table1[[#This Row],[Children_transferred_out_of_CBP_custody]])</f>
        <v>1.1666666666666667</v>
      </c>
    </row>
    <row r="586" spans="1:18" x14ac:dyDescent="0.3">
      <c r="A586">
        <v>585</v>
      </c>
      <c r="B586" s="7">
        <v>45806</v>
      </c>
      <c r="C586" s="5">
        <v>13</v>
      </c>
      <c r="D586" s="5">
        <v>38</v>
      </c>
      <c r="E586" s="5">
        <v>15</v>
      </c>
      <c r="F586" s="5">
        <v>2506</v>
      </c>
      <c r="G586" s="5">
        <v>11</v>
      </c>
      <c r="H586" t="str">
        <f t="shared" si="46"/>
        <v>Valid</v>
      </c>
      <c r="I586" t="str">
        <f t="shared" si="47"/>
        <v>Valid</v>
      </c>
      <c r="J586" s="5">
        <f t="shared" si="48"/>
        <v>2495</v>
      </c>
      <c r="K586" s="5">
        <f t="shared" si="49"/>
        <v>2544</v>
      </c>
      <c r="L586" s="5">
        <f>IF(Table1[[#This Row],[Total_System_Load]]&gt;80%*AVERAGE(Table1[Total_System_Load]),Table1[[#This Row],[Total_System_Load]]-Table1[[#This Row],[Total_Children_Under_Care]],0)</f>
        <v>0</v>
      </c>
      <c r="M586" s="5">
        <f t="shared" si="45"/>
        <v>4</v>
      </c>
      <c r="N586" s="5">
        <f>M587-Table1[[#This Row],[Net_Daily_Intake]]</f>
        <v>0</v>
      </c>
      <c r="O586" s="5">
        <f>M587-Table1[[#This Row],[Net_Daily_Intake]]/Table1[[#This Row],[Net_Daily_Intake]]</f>
        <v>3</v>
      </c>
      <c r="P586" t="str">
        <f>IF(Table1[[#This Row],[Change_in_Net_Daily_Intake]]&gt;0,"Sustained Positive","Negative")</f>
        <v>Negative</v>
      </c>
      <c r="Q586" s="1">
        <f>(Table1[[#This Row],[Total_System_Load]]-Table1[[#This Row],[Total_Children_Under_Care]])/Table1[[#This Row],[Total_Children_Under_Care]]*100</f>
        <v>1.963927855711423</v>
      </c>
      <c r="R586" s="1">
        <f>(Table1[[#This Row],[Children_discharged _from_HHS_ Care]]/Table1[[#This Row],[Children_transferred_out_of_CBP_custody]])</f>
        <v>0.73333333333333328</v>
      </c>
    </row>
    <row r="587" spans="1:18" x14ac:dyDescent="0.3">
      <c r="A587">
        <v>586</v>
      </c>
      <c r="B587" s="7">
        <v>45809</v>
      </c>
      <c r="C587" s="5">
        <v>8</v>
      </c>
      <c r="D587" s="5">
        <v>24</v>
      </c>
      <c r="E587" s="5">
        <v>16</v>
      </c>
      <c r="F587" s="5">
        <v>2528</v>
      </c>
      <c r="G587" s="5">
        <v>12</v>
      </c>
      <c r="H587" t="str">
        <f t="shared" si="46"/>
        <v>Valid</v>
      </c>
      <c r="I587" t="str">
        <f t="shared" si="47"/>
        <v>Valid</v>
      </c>
      <c r="J587" s="5">
        <f t="shared" si="48"/>
        <v>2516</v>
      </c>
      <c r="K587" s="5">
        <f t="shared" si="49"/>
        <v>2552</v>
      </c>
      <c r="L587" s="5">
        <f>IF(Table1[[#This Row],[Total_System_Load]]&gt;80%*AVERAGE(Table1[Total_System_Load]),Table1[[#This Row],[Total_System_Load]]-Table1[[#This Row],[Total_Children_Under_Care]],0)</f>
        <v>0</v>
      </c>
      <c r="M587" s="5">
        <f t="shared" si="45"/>
        <v>4</v>
      </c>
      <c r="N587" s="5">
        <f>M588-Table1[[#This Row],[Net_Daily_Intake]]</f>
        <v>-15</v>
      </c>
      <c r="O587" s="5">
        <f>M588-Table1[[#This Row],[Net_Daily_Intake]]/Table1[[#This Row],[Net_Daily_Intake]]</f>
        <v>-12</v>
      </c>
      <c r="P587" t="str">
        <f>IF(Table1[[#This Row],[Change_in_Net_Daily_Intake]]&gt;0,"Sustained Positive","Negative")</f>
        <v>Negative</v>
      </c>
      <c r="Q587" s="1">
        <f>(Table1[[#This Row],[Total_System_Load]]-Table1[[#This Row],[Total_Children_Under_Care]])/Table1[[#This Row],[Total_Children_Under_Care]]*100</f>
        <v>1.4308426073131957</v>
      </c>
      <c r="R587" s="1">
        <f>(Table1[[#This Row],[Children_discharged _from_HHS_ Care]]/Table1[[#This Row],[Children_transferred_out_of_CBP_custody]])</f>
        <v>0.75</v>
      </c>
    </row>
    <row r="588" spans="1:18" x14ac:dyDescent="0.3">
      <c r="A588">
        <v>587</v>
      </c>
      <c r="B588" s="7">
        <v>45810</v>
      </c>
      <c r="C588" s="5">
        <v>10</v>
      </c>
      <c r="D588" s="5">
        <v>19</v>
      </c>
      <c r="E588" s="5">
        <v>5</v>
      </c>
      <c r="F588" s="5">
        <v>2518</v>
      </c>
      <c r="G588" s="5">
        <v>16</v>
      </c>
      <c r="H588" t="str">
        <f t="shared" si="46"/>
        <v>Valid</v>
      </c>
      <c r="I588" t="str">
        <f t="shared" si="47"/>
        <v>Valid</v>
      </c>
      <c r="J588" s="5">
        <f t="shared" si="48"/>
        <v>2502</v>
      </c>
      <c r="K588" s="5">
        <f t="shared" si="49"/>
        <v>2537</v>
      </c>
      <c r="L588" s="5">
        <f>IF(Table1[[#This Row],[Total_System_Load]]&gt;80%*AVERAGE(Table1[Total_System_Load]),Table1[[#This Row],[Total_System_Load]]-Table1[[#This Row],[Total_Children_Under_Care]],0)</f>
        <v>0</v>
      </c>
      <c r="M588" s="5">
        <f t="shared" si="45"/>
        <v>-11</v>
      </c>
      <c r="N588" s="5">
        <f>M589-Table1[[#This Row],[Net_Daily_Intake]]</f>
        <v>7</v>
      </c>
      <c r="O588" s="5">
        <f>M589-Table1[[#This Row],[Net_Daily_Intake]]/Table1[[#This Row],[Net_Daily_Intake]]</f>
        <v>-5</v>
      </c>
      <c r="P588" t="str">
        <f>IF(Table1[[#This Row],[Change_in_Net_Daily_Intake]]&gt;0,"Sustained Positive","Negative")</f>
        <v>Sustained Positive</v>
      </c>
      <c r="Q588" s="1">
        <f>(Table1[[#This Row],[Total_System_Load]]-Table1[[#This Row],[Total_Children_Under_Care]])/Table1[[#This Row],[Total_Children_Under_Care]]*100</f>
        <v>1.3988808952837728</v>
      </c>
      <c r="R588" s="1">
        <f>(Table1[[#This Row],[Children_discharged _from_HHS_ Care]]/Table1[[#This Row],[Children_transferred_out_of_CBP_custody]])</f>
        <v>3.2</v>
      </c>
    </row>
    <row r="589" spans="1:18" x14ac:dyDescent="0.3">
      <c r="A589">
        <v>588</v>
      </c>
      <c r="B589" s="7">
        <v>45811</v>
      </c>
      <c r="C589" s="5">
        <v>5</v>
      </c>
      <c r="D589" s="5">
        <v>23</v>
      </c>
      <c r="E589" s="5">
        <v>11</v>
      </c>
      <c r="F589" s="5">
        <v>2519</v>
      </c>
      <c r="G589" s="5">
        <v>15</v>
      </c>
      <c r="H589" t="str">
        <f t="shared" si="46"/>
        <v>Valid</v>
      </c>
      <c r="I589" t="str">
        <f t="shared" si="47"/>
        <v>Valid</v>
      </c>
      <c r="J589" s="5">
        <f t="shared" si="48"/>
        <v>2504</v>
      </c>
      <c r="K589" s="5">
        <f t="shared" si="49"/>
        <v>2542</v>
      </c>
      <c r="L589" s="5">
        <f>IF(Table1[[#This Row],[Total_System_Load]]&gt;80%*AVERAGE(Table1[Total_System_Load]),Table1[[#This Row],[Total_System_Load]]-Table1[[#This Row],[Total_Children_Under_Care]],0)</f>
        <v>0</v>
      </c>
      <c r="M589" s="5">
        <f t="shared" si="45"/>
        <v>-4</v>
      </c>
      <c r="N589" s="5">
        <f>M590-Table1[[#This Row],[Net_Daily_Intake]]</f>
        <v>-3</v>
      </c>
      <c r="O589" s="5">
        <f>M590-Table1[[#This Row],[Net_Daily_Intake]]/Table1[[#This Row],[Net_Daily_Intake]]</f>
        <v>-8</v>
      </c>
      <c r="P589" t="str">
        <f>IF(Table1[[#This Row],[Change_in_Net_Daily_Intake]]&gt;0,"Sustained Positive","Negative")</f>
        <v>Negative</v>
      </c>
      <c r="Q589" s="1">
        <f>(Table1[[#This Row],[Total_System_Load]]-Table1[[#This Row],[Total_Children_Under_Care]])/Table1[[#This Row],[Total_Children_Under_Care]]*100</f>
        <v>1.5175718849840254</v>
      </c>
      <c r="R589" s="1">
        <f>(Table1[[#This Row],[Children_discharged _from_HHS_ Care]]/Table1[[#This Row],[Children_transferred_out_of_CBP_custody]])</f>
        <v>1.3636363636363635</v>
      </c>
    </row>
    <row r="590" spans="1:18" x14ac:dyDescent="0.3">
      <c r="A590">
        <v>589</v>
      </c>
      <c r="B590" s="7">
        <v>45812</v>
      </c>
      <c r="C590" s="5">
        <v>4</v>
      </c>
      <c r="D590" s="5">
        <v>16</v>
      </c>
      <c r="E590" s="5">
        <v>9</v>
      </c>
      <c r="F590" s="5">
        <v>2516</v>
      </c>
      <c r="G590" s="5">
        <v>16</v>
      </c>
      <c r="H590" t="str">
        <f t="shared" si="46"/>
        <v>Valid</v>
      </c>
      <c r="I590" t="str">
        <f t="shared" si="47"/>
        <v>Valid</v>
      </c>
      <c r="J590" s="5">
        <f t="shared" si="48"/>
        <v>2500</v>
      </c>
      <c r="K590" s="5">
        <f t="shared" si="49"/>
        <v>2532</v>
      </c>
      <c r="L590" s="5">
        <f>IF(Table1[[#This Row],[Total_System_Load]]&gt;80%*AVERAGE(Table1[Total_System_Load]),Table1[[#This Row],[Total_System_Load]]-Table1[[#This Row],[Total_Children_Under_Care]],0)</f>
        <v>0</v>
      </c>
      <c r="M590" s="5">
        <f t="shared" si="45"/>
        <v>-7</v>
      </c>
      <c r="N590" s="5">
        <f>M591-Table1[[#This Row],[Net_Daily_Intake]]</f>
        <v>-9</v>
      </c>
      <c r="O590" s="5">
        <f>M591-Table1[[#This Row],[Net_Daily_Intake]]/Table1[[#This Row],[Net_Daily_Intake]]</f>
        <v>-17</v>
      </c>
      <c r="P590" t="str">
        <f>IF(Table1[[#This Row],[Change_in_Net_Daily_Intake]]&gt;0,"Sustained Positive","Negative")</f>
        <v>Negative</v>
      </c>
      <c r="Q590" s="1">
        <f>(Table1[[#This Row],[Total_System_Load]]-Table1[[#This Row],[Total_Children_Under_Care]])/Table1[[#This Row],[Total_Children_Under_Care]]*100</f>
        <v>1.28</v>
      </c>
      <c r="R590" s="1">
        <f>(Table1[[#This Row],[Children_discharged _from_HHS_ Care]]/Table1[[#This Row],[Children_transferred_out_of_CBP_custody]])</f>
        <v>1.7777777777777777</v>
      </c>
    </row>
    <row r="591" spans="1:18" x14ac:dyDescent="0.3">
      <c r="A591">
        <v>590</v>
      </c>
      <c r="B591" s="7">
        <v>45813</v>
      </c>
      <c r="C591" s="5">
        <v>8</v>
      </c>
      <c r="D591" s="5">
        <v>26</v>
      </c>
      <c r="E591" s="5">
        <v>5</v>
      </c>
      <c r="F591" s="5">
        <v>2503</v>
      </c>
      <c r="G591" s="5">
        <v>21</v>
      </c>
      <c r="H591" t="str">
        <f t="shared" si="46"/>
        <v>Valid</v>
      </c>
      <c r="I591" t="str">
        <f t="shared" si="47"/>
        <v>Valid</v>
      </c>
      <c r="J591" s="5">
        <f t="shared" si="48"/>
        <v>2482</v>
      </c>
      <c r="K591" s="5">
        <f t="shared" si="49"/>
        <v>2529</v>
      </c>
      <c r="L591" s="5">
        <f>IF(Table1[[#This Row],[Total_System_Load]]&gt;80%*AVERAGE(Table1[Total_System_Load]),Table1[[#This Row],[Total_System_Load]]-Table1[[#This Row],[Total_Children_Under_Care]],0)</f>
        <v>0</v>
      </c>
      <c r="M591" s="5">
        <f t="shared" si="45"/>
        <v>-16</v>
      </c>
      <c r="N591" s="5">
        <f>M592-Table1[[#This Row],[Net_Daily_Intake]]</f>
        <v>18</v>
      </c>
      <c r="O591" s="5">
        <f>M592-Table1[[#This Row],[Net_Daily_Intake]]/Table1[[#This Row],[Net_Daily_Intake]]</f>
        <v>1</v>
      </c>
      <c r="P591" t="str">
        <f>IF(Table1[[#This Row],[Change_in_Net_Daily_Intake]]&gt;0,"Sustained Positive","Negative")</f>
        <v>Sustained Positive</v>
      </c>
      <c r="Q591" s="1">
        <f>(Table1[[#This Row],[Total_System_Load]]-Table1[[#This Row],[Total_Children_Under_Care]])/Table1[[#This Row],[Total_Children_Under_Care]]*100</f>
        <v>1.8936341659951652</v>
      </c>
      <c r="R591" s="1">
        <f>(Table1[[#This Row],[Children_discharged _from_HHS_ Care]]/Table1[[#This Row],[Children_transferred_out_of_CBP_custody]])</f>
        <v>4.2</v>
      </c>
    </row>
    <row r="592" spans="1:18" x14ac:dyDescent="0.3">
      <c r="A592">
        <v>591</v>
      </c>
      <c r="B592" s="7">
        <v>45816</v>
      </c>
      <c r="C592" s="5">
        <v>10</v>
      </c>
      <c r="D592" s="5">
        <v>16</v>
      </c>
      <c r="E592" s="5">
        <v>15</v>
      </c>
      <c r="F592" s="5">
        <v>2507</v>
      </c>
      <c r="G592" s="5">
        <v>13</v>
      </c>
      <c r="H592" t="str">
        <f t="shared" si="46"/>
        <v>Valid</v>
      </c>
      <c r="I592" t="str">
        <f t="shared" si="47"/>
        <v>Valid</v>
      </c>
      <c r="J592" s="5">
        <f t="shared" si="48"/>
        <v>2494</v>
      </c>
      <c r="K592" s="5">
        <f t="shared" si="49"/>
        <v>2523</v>
      </c>
      <c r="L592" s="5">
        <f>IF(Table1[[#This Row],[Total_System_Load]]&gt;80%*AVERAGE(Table1[Total_System_Load]),Table1[[#This Row],[Total_System_Load]]-Table1[[#This Row],[Total_Children_Under_Care]],0)</f>
        <v>0</v>
      </c>
      <c r="M592" s="5">
        <f t="shared" si="45"/>
        <v>2</v>
      </c>
      <c r="N592" s="5">
        <f>M593-Table1[[#This Row],[Net_Daily_Intake]]</f>
        <v>3</v>
      </c>
      <c r="O592" s="5">
        <f>M593-Table1[[#This Row],[Net_Daily_Intake]]/Table1[[#This Row],[Net_Daily_Intake]]</f>
        <v>4</v>
      </c>
      <c r="P592" t="str">
        <f>IF(Table1[[#This Row],[Change_in_Net_Daily_Intake]]&gt;0,"Sustained Positive","Negative")</f>
        <v>Sustained Positive</v>
      </c>
      <c r="Q592" s="1">
        <f>(Table1[[#This Row],[Total_System_Load]]-Table1[[#This Row],[Total_Children_Under_Care]])/Table1[[#This Row],[Total_Children_Under_Care]]*100</f>
        <v>1.1627906976744187</v>
      </c>
      <c r="R592" s="1">
        <f>(Table1[[#This Row],[Children_discharged _from_HHS_ Care]]/Table1[[#This Row],[Children_transferred_out_of_CBP_custody]])</f>
        <v>0.8666666666666667</v>
      </c>
    </row>
    <row r="593" spans="1:18" x14ac:dyDescent="0.3">
      <c r="A593">
        <v>592</v>
      </c>
      <c r="B593" s="7">
        <v>45817</v>
      </c>
      <c r="C593" s="5">
        <v>8</v>
      </c>
      <c r="D593" s="5">
        <v>21</v>
      </c>
      <c r="E593" s="5">
        <v>14</v>
      </c>
      <c r="F593" s="5">
        <v>2516</v>
      </c>
      <c r="G593" s="5">
        <v>9</v>
      </c>
      <c r="H593" t="str">
        <f t="shared" si="46"/>
        <v>Valid</v>
      </c>
      <c r="I593" t="str">
        <f t="shared" si="47"/>
        <v>Valid</v>
      </c>
      <c r="J593" s="5">
        <f t="shared" si="48"/>
        <v>2507</v>
      </c>
      <c r="K593" s="5">
        <f t="shared" si="49"/>
        <v>2537</v>
      </c>
      <c r="L593" s="5">
        <f>IF(Table1[[#This Row],[Total_System_Load]]&gt;80%*AVERAGE(Table1[Total_System_Load]),Table1[[#This Row],[Total_System_Load]]-Table1[[#This Row],[Total_Children_Under_Care]],0)</f>
        <v>0</v>
      </c>
      <c r="M593" s="5">
        <f t="shared" si="45"/>
        <v>5</v>
      </c>
      <c r="N593" s="5">
        <f>M594-Table1[[#This Row],[Net_Daily_Intake]]</f>
        <v>-10</v>
      </c>
      <c r="O593" s="5">
        <f>M594-Table1[[#This Row],[Net_Daily_Intake]]/Table1[[#This Row],[Net_Daily_Intake]]</f>
        <v>-6</v>
      </c>
      <c r="P593" t="str">
        <f>IF(Table1[[#This Row],[Change_in_Net_Daily_Intake]]&gt;0,"Sustained Positive","Negative")</f>
        <v>Negative</v>
      </c>
      <c r="Q593" s="1">
        <f>(Table1[[#This Row],[Total_System_Load]]-Table1[[#This Row],[Total_Children_Under_Care]])/Table1[[#This Row],[Total_Children_Under_Care]]*100</f>
        <v>1.1966493817311528</v>
      </c>
      <c r="R593" s="1">
        <f>(Table1[[#This Row],[Children_discharged _from_HHS_ Care]]/Table1[[#This Row],[Children_transferred_out_of_CBP_custody]])</f>
        <v>0.6428571428571429</v>
      </c>
    </row>
    <row r="594" spans="1:18" x14ac:dyDescent="0.3">
      <c r="A594">
        <v>593</v>
      </c>
      <c r="B594" s="7">
        <v>45818</v>
      </c>
      <c r="C594" s="5">
        <v>17</v>
      </c>
      <c r="D594" s="5">
        <v>28</v>
      </c>
      <c r="E594" s="5">
        <v>7</v>
      </c>
      <c r="F594" s="5">
        <v>2511</v>
      </c>
      <c r="G594" s="5">
        <v>12</v>
      </c>
      <c r="H594" t="str">
        <f t="shared" si="46"/>
        <v>Valid</v>
      </c>
      <c r="I594" t="str">
        <f t="shared" si="47"/>
        <v>Valid</v>
      </c>
      <c r="J594" s="5">
        <f t="shared" si="48"/>
        <v>2499</v>
      </c>
      <c r="K594" s="5">
        <f t="shared" si="49"/>
        <v>2539</v>
      </c>
      <c r="L594" s="5">
        <f>IF(Table1[[#This Row],[Total_System_Load]]&gt;80%*AVERAGE(Table1[Total_System_Load]),Table1[[#This Row],[Total_System_Load]]-Table1[[#This Row],[Total_Children_Under_Care]],0)</f>
        <v>0</v>
      </c>
      <c r="M594" s="5">
        <f t="shared" si="45"/>
        <v>-5</v>
      </c>
      <c r="N594" s="5">
        <f>M595-Table1[[#This Row],[Net_Daily_Intake]]</f>
        <v>1</v>
      </c>
      <c r="O594" s="5">
        <f>M595-Table1[[#This Row],[Net_Daily_Intake]]/Table1[[#This Row],[Net_Daily_Intake]]</f>
        <v>-5</v>
      </c>
      <c r="P594" t="str">
        <f>IF(Table1[[#This Row],[Change_in_Net_Daily_Intake]]&gt;0,"Sustained Positive","Negative")</f>
        <v>Sustained Positive</v>
      </c>
      <c r="Q594" s="1">
        <f>(Table1[[#This Row],[Total_System_Load]]-Table1[[#This Row],[Total_Children_Under_Care]])/Table1[[#This Row],[Total_Children_Under_Care]]*100</f>
        <v>1.6006402561024411</v>
      </c>
      <c r="R594" s="1">
        <f>(Table1[[#This Row],[Children_discharged _from_HHS_ Care]]/Table1[[#This Row],[Children_transferred_out_of_CBP_custody]])</f>
        <v>1.7142857142857142</v>
      </c>
    </row>
    <row r="595" spans="1:18" x14ac:dyDescent="0.3">
      <c r="A595">
        <v>594</v>
      </c>
      <c r="B595" s="7">
        <v>45825</v>
      </c>
      <c r="C595" s="5">
        <v>7</v>
      </c>
      <c r="D595" s="5">
        <v>24</v>
      </c>
      <c r="E595" s="5">
        <v>10</v>
      </c>
      <c r="F595" s="5">
        <v>2523</v>
      </c>
      <c r="G595" s="5">
        <v>14</v>
      </c>
      <c r="H595" t="str">
        <f t="shared" si="46"/>
        <v>Valid</v>
      </c>
      <c r="I595" t="str">
        <f t="shared" si="47"/>
        <v>Valid</v>
      </c>
      <c r="J595" s="5">
        <f t="shared" si="48"/>
        <v>2509</v>
      </c>
      <c r="K595" s="5">
        <f t="shared" si="49"/>
        <v>2547</v>
      </c>
      <c r="L595" s="5">
        <f>IF(Table1[[#This Row],[Total_System_Load]]&gt;80%*AVERAGE(Table1[Total_System_Load]),Table1[[#This Row],[Total_System_Load]]-Table1[[#This Row],[Total_Children_Under_Care]],0)</f>
        <v>0</v>
      </c>
      <c r="M595" s="5">
        <f t="shared" si="45"/>
        <v>-4</v>
      </c>
      <c r="N595" s="5">
        <f>M596-Table1[[#This Row],[Net_Daily_Intake]]</f>
        <v>-7</v>
      </c>
      <c r="O595" s="5">
        <f>M596-Table1[[#This Row],[Net_Daily_Intake]]/Table1[[#This Row],[Net_Daily_Intake]]</f>
        <v>-12</v>
      </c>
      <c r="P595" t="str">
        <f>IF(Table1[[#This Row],[Change_in_Net_Daily_Intake]]&gt;0,"Sustained Positive","Negative")</f>
        <v>Negative</v>
      </c>
      <c r="Q595" s="1">
        <f>(Table1[[#This Row],[Total_System_Load]]-Table1[[#This Row],[Total_Children_Under_Care]])/Table1[[#This Row],[Total_Children_Under_Care]]*100</f>
        <v>1.5145476285372659</v>
      </c>
      <c r="R595" s="1">
        <f>(Table1[[#This Row],[Children_discharged _from_HHS_ Care]]/Table1[[#This Row],[Children_transferred_out_of_CBP_custody]])</f>
        <v>1.4</v>
      </c>
    </row>
    <row r="596" spans="1:18" x14ac:dyDescent="0.3">
      <c r="A596">
        <v>595</v>
      </c>
      <c r="B596" s="7">
        <v>45827</v>
      </c>
      <c r="C596" s="5">
        <v>8</v>
      </c>
      <c r="D596" s="5">
        <v>19</v>
      </c>
      <c r="E596" s="5">
        <v>7</v>
      </c>
      <c r="F596" s="5">
        <v>2501</v>
      </c>
      <c r="G596" s="5">
        <v>18</v>
      </c>
      <c r="H596" t="str">
        <f t="shared" si="46"/>
        <v>Valid</v>
      </c>
      <c r="I596" t="str">
        <f t="shared" si="47"/>
        <v>Valid</v>
      </c>
      <c r="J596" s="5">
        <f t="shared" si="48"/>
        <v>2483</v>
      </c>
      <c r="K596" s="5">
        <f t="shared" si="49"/>
        <v>2520</v>
      </c>
      <c r="L596" s="5">
        <f>IF(Table1[[#This Row],[Total_System_Load]]&gt;80%*AVERAGE(Table1[Total_System_Load]),Table1[[#This Row],[Total_System_Load]]-Table1[[#This Row],[Total_Children_Under_Care]],0)</f>
        <v>0</v>
      </c>
      <c r="M596" s="5">
        <f t="shared" si="45"/>
        <v>-11</v>
      </c>
      <c r="N596" s="5">
        <f>M597-Table1[[#This Row],[Net_Daily_Intake]]</f>
        <v>9</v>
      </c>
      <c r="O596" s="5">
        <f>M597-Table1[[#This Row],[Net_Daily_Intake]]/Table1[[#This Row],[Net_Daily_Intake]]</f>
        <v>-3</v>
      </c>
      <c r="P596" t="str">
        <f>IF(Table1[[#This Row],[Change_in_Net_Daily_Intake]]&gt;0,"Sustained Positive","Negative")</f>
        <v>Sustained Positive</v>
      </c>
      <c r="Q596" s="1">
        <f>(Table1[[#This Row],[Total_System_Load]]-Table1[[#This Row],[Total_Children_Under_Care]])/Table1[[#This Row],[Total_Children_Under_Care]]*100</f>
        <v>1.4901329037454691</v>
      </c>
      <c r="R596" s="1">
        <f>(Table1[[#This Row],[Children_discharged _from_HHS_ Care]]/Table1[[#This Row],[Children_transferred_out_of_CBP_custody]])</f>
        <v>2.5714285714285716</v>
      </c>
    </row>
    <row r="597" spans="1:18" x14ac:dyDescent="0.3">
      <c r="A597">
        <v>596</v>
      </c>
      <c r="B597" s="7">
        <v>45830</v>
      </c>
      <c r="C597" s="5">
        <v>7</v>
      </c>
      <c r="D597" s="5">
        <v>13</v>
      </c>
      <c r="E597" s="5">
        <v>5</v>
      </c>
      <c r="F597" s="5">
        <v>2508</v>
      </c>
      <c r="G597" s="5">
        <v>7</v>
      </c>
      <c r="H597" t="str">
        <f t="shared" si="46"/>
        <v>Valid</v>
      </c>
      <c r="I597" t="str">
        <f t="shared" si="47"/>
        <v>Valid</v>
      </c>
      <c r="J597" s="5">
        <f t="shared" si="48"/>
        <v>2501</v>
      </c>
      <c r="K597" s="5">
        <f t="shared" si="49"/>
        <v>2521</v>
      </c>
      <c r="L597" s="5">
        <f>IF(Table1[[#This Row],[Total_System_Load]]&gt;80%*AVERAGE(Table1[Total_System_Load]),Table1[[#This Row],[Total_System_Load]]-Table1[[#This Row],[Total_Children_Under_Care]],0)</f>
        <v>0</v>
      </c>
      <c r="M597" s="5">
        <f t="shared" si="45"/>
        <v>-2</v>
      </c>
      <c r="N597" s="5">
        <f>M598-Table1[[#This Row],[Net_Daily_Intake]]</f>
        <v>-10</v>
      </c>
      <c r="O597" s="5">
        <f>M598-Table1[[#This Row],[Net_Daily_Intake]]/Table1[[#This Row],[Net_Daily_Intake]]</f>
        <v>-13</v>
      </c>
      <c r="P597" t="str">
        <f>IF(Table1[[#This Row],[Change_in_Net_Daily_Intake]]&gt;0,"Sustained Positive","Negative")</f>
        <v>Negative</v>
      </c>
      <c r="Q597" s="1">
        <f>(Table1[[#This Row],[Total_System_Load]]-Table1[[#This Row],[Total_Children_Under_Care]])/Table1[[#This Row],[Total_Children_Under_Care]]*100</f>
        <v>0.79968012794882048</v>
      </c>
      <c r="R597" s="1">
        <f>(Table1[[#This Row],[Children_discharged _from_HHS_ Care]]/Table1[[#This Row],[Children_transferred_out_of_CBP_custody]])</f>
        <v>1.4</v>
      </c>
    </row>
    <row r="598" spans="1:18" x14ac:dyDescent="0.3">
      <c r="A598">
        <v>597</v>
      </c>
      <c r="B598" s="7">
        <v>45831</v>
      </c>
      <c r="C598" s="5">
        <v>3</v>
      </c>
      <c r="D598" s="5">
        <v>15</v>
      </c>
      <c r="E598" s="5">
        <v>5</v>
      </c>
      <c r="F598" s="5">
        <v>2495</v>
      </c>
      <c r="G598" s="5">
        <v>17</v>
      </c>
      <c r="H598" t="str">
        <f t="shared" si="46"/>
        <v>Valid</v>
      </c>
      <c r="I598" t="str">
        <f t="shared" si="47"/>
        <v>Valid</v>
      </c>
      <c r="J598" s="5">
        <f t="shared" si="48"/>
        <v>2478</v>
      </c>
      <c r="K598" s="5">
        <f t="shared" si="49"/>
        <v>2510</v>
      </c>
      <c r="L598" s="5">
        <f>IF(Table1[[#This Row],[Total_System_Load]]&gt;80%*AVERAGE(Table1[Total_System_Load]),Table1[[#This Row],[Total_System_Load]]-Table1[[#This Row],[Total_Children_Under_Care]],0)</f>
        <v>0</v>
      </c>
      <c r="M598" s="5">
        <f t="shared" si="45"/>
        <v>-12</v>
      </c>
      <c r="N598" s="5">
        <f>M599-Table1[[#This Row],[Net_Daily_Intake]]</f>
        <v>1</v>
      </c>
      <c r="O598" s="5">
        <f>M599-Table1[[#This Row],[Net_Daily_Intake]]/Table1[[#This Row],[Net_Daily_Intake]]</f>
        <v>-12</v>
      </c>
      <c r="P598" t="str">
        <f>IF(Table1[[#This Row],[Change_in_Net_Daily_Intake]]&gt;0,"Sustained Positive","Negative")</f>
        <v>Sustained Positive</v>
      </c>
      <c r="Q598" s="1">
        <f>(Table1[[#This Row],[Total_System_Load]]-Table1[[#This Row],[Total_Children_Under_Care]])/Table1[[#This Row],[Total_Children_Under_Care]]*100</f>
        <v>1.2913640032284099</v>
      </c>
      <c r="R598" s="1">
        <f>(Table1[[#This Row],[Children_discharged _from_HHS_ Care]]/Table1[[#This Row],[Children_transferred_out_of_CBP_custody]])</f>
        <v>3.4</v>
      </c>
    </row>
    <row r="599" spans="1:18" x14ac:dyDescent="0.3">
      <c r="A599">
        <v>598</v>
      </c>
      <c r="B599" s="7">
        <v>45832</v>
      </c>
      <c r="C599" s="5">
        <v>5</v>
      </c>
      <c r="D599" s="5">
        <v>20</v>
      </c>
      <c r="E599" s="5">
        <v>5</v>
      </c>
      <c r="F599" s="5">
        <v>2489</v>
      </c>
      <c r="G599" s="5">
        <v>16</v>
      </c>
      <c r="H599" t="str">
        <f t="shared" si="46"/>
        <v>Valid</v>
      </c>
      <c r="I599" t="str">
        <f t="shared" si="47"/>
        <v>Valid</v>
      </c>
      <c r="J599" s="5">
        <f t="shared" si="48"/>
        <v>2473</v>
      </c>
      <c r="K599" s="5">
        <f t="shared" si="49"/>
        <v>2509</v>
      </c>
      <c r="L599" s="5">
        <f>IF(Table1[[#This Row],[Total_System_Load]]&gt;80%*AVERAGE(Table1[Total_System_Load]),Table1[[#This Row],[Total_System_Load]]-Table1[[#This Row],[Total_Children_Under_Care]],0)</f>
        <v>0</v>
      </c>
      <c r="M599" s="5">
        <f t="shared" si="45"/>
        <v>-11</v>
      </c>
      <c r="N599" s="5">
        <f>M600-Table1[[#This Row],[Net_Daily_Intake]]</f>
        <v>-11</v>
      </c>
      <c r="O599" s="5">
        <f>M600-Table1[[#This Row],[Net_Daily_Intake]]/Table1[[#This Row],[Net_Daily_Intake]]</f>
        <v>-23</v>
      </c>
      <c r="P599" t="str">
        <f>IF(Table1[[#This Row],[Change_in_Net_Daily_Intake]]&gt;0,"Sustained Positive","Negative")</f>
        <v>Negative</v>
      </c>
      <c r="Q599" s="1">
        <f>(Table1[[#This Row],[Total_System_Load]]-Table1[[#This Row],[Total_Children_Under_Care]])/Table1[[#This Row],[Total_Children_Under_Care]]*100</f>
        <v>1.4557217953902144</v>
      </c>
      <c r="R599" s="1">
        <f>(Table1[[#This Row],[Children_discharged _from_HHS_ Care]]/Table1[[#This Row],[Children_transferred_out_of_CBP_custody]])</f>
        <v>3.2</v>
      </c>
    </row>
    <row r="600" spans="1:18" x14ac:dyDescent="0.3">
      <c r="A600">
        <v>599</v>
      </c>
      <c r="B600" s="7">
        <v>45833</v>
      </c>
      <c r="C600" s="5">
        <v>6</v>
      </c>
      <c r="D600" s="5">
        <v>12</v>
      </c>
      <c r="E600" s="5">
        <v>2</v>
      </c>
      <c r="F600" s="5">
        <v>2470</v>
      </c>
      <c r="G600" s="5">
        <v>24</v>
      </c>
      <c r="H600" t="str">
        <f t="shared" si="46"/>
        <v>Valid</v>
      </c>
      <c r="I600" t="str">
        <f t="shared" si="47"/>
        <v>Valid</v>
      </c>
      <c r="J600" s="5">
        <f t="shared" si="48"/>
        <v>2446</v>
      </c>
      <c r="K600" s="5">
        <f t="shared" si="49"/>
        <v>2482</v>
      </c>
      <c r="L600" s="5">
        <f>IF(Table1[[#This Row],[Total_System_Load]]&gt;80%*AVERAGE(Table1[Total_System_Load]),Table1[[#This Row],[Total_System_Load]]-Table1[[#This Row],[Total_Children_Under_Care]],0)</f>
        <v>0</v>
      </c>
      <c r="M600" s="5">
        <f t="shared" si="45"/>
        <v>-22</v>
      </c>
      <c r="N600" s="5">
        <f>M601-Table1[[#This Row],[Net_Daily_Intake]]</f>
        <v>-6</v>
      </c>
      <c r="O600" s="5">
        <f>M601-Table1[[#This Row],[Net_Daily_Intake]]/Table1[[#This Row],[Net_Daily_Intake]]</f>
        <v>-29</v>
      </c>
      <c r="P600" t="str">
        <f>IF(Table1[[#This Row],[Change_in_Net_Daily_Intake]]&gt;0,"Sustained Positive","Negative")</f>
        <v>Negative</v>
      </c>
      <c r="Q600" s="1">
        <f>(Table1[[#This Row],[Total_System_Load]]-Table1[[#This Row],[Total_Children_Under_Care]])/Table1[[#This Row],[Total_Children_Under_Care]]*100</f>
        <v>1.4717906786590351</v>
      </c>
      <c r="R600" s="1">
        <f>(Table1[[#This Row],[Children_discharged _from_HHS_ Care]]/Table1[[#This Row],[Children_transferred_out_of_CBP_custody]])</f>
        <v>12</v>
      </c>
    </row>
    <row r="601" spans="1:18" x14ac:dyDescent="0.3">
      <c r="A601">
        <v>600</v>
      </c>
      <c r="B601" s="7">
        <v>45834</v>
      </c>
      <c r="C601" s="5">
        <v>3</v>
      </c>
      <c r="D601" s="5">
        <v>9</v>
      </c>
      <c r="E601" s="5">
        <v>7</v>
      </c>
      <c r="F601" s="5">
        <v>2447</v>
      </c>
      <c r="G601" s="5">
        <v>35</v>
      </c>
      <c r="H601" t="str">
        <f t="shared" si="46"/>
        <v>Valid</v>
      </c>
      <c r="I601" t="str">
        <f t="shared" si="47"/>
        <v>Valid</v>
      </c>
      <c r="J601" s="5">
        <f t="shared" si="48"/>
        <v>2412</v>
      </c>
      <c r="K601" s="5">
        <f t="shared" si="49"/>
        <v>2456</v>
      </c>
      <c r="L601" s="5">
        <f>IF(Table1[[#This Row],[Total_System_Load]]&gt;80%*AVERAGE(Table1[Total_System_Load]),Table1[[#This Row],[Total_System_Load]]-Table1[[#This Row],[Total_Children_Under_Care]],0)</f>
        <v>0</v>
      </c>
      <c r="M601" s="5">
        <f t="shared" si="45"/>
        <v>-28</v>
      </c>
      <c r="N601" s="5">
        <f>M602-Table1[[#This Row],[Net_Daily_Intake]]</f>
        <v>15</v>
      </c>
      <c r="O601" s="5">
        <f>M602-Table1[[#This Row],[Net_Daily_Intake]]/Table1[[#This Row],[Net_Daily_Intake]]</f>
        <v>-14</v>
      </c>
      <c r="P601" t="str">
        <f>IF(Table1[[#This Row],[Change_in_Net_Daily_Intake]]&gt;0,"Sustained Positive","Negative")</f>
        <v>Sustained Positive</v>
      </c>
      <c r="Q601" s="1">
        <f>(Table1[[#This Row],[Total_System_Load]]-Table1[[#This Row],[Total_Children_Under_Care]])/Table1[[#This Row],[Total_Children_Under_Care]]*100</f>
        <v>1.8242122719734661</v>
      </c>
      <c r="R601" s="1">
        <f>(Table1[[#This Row],[Children_discharged _from_HHS_ Care]]/Table1[[#This Row],[Children_transferred_out_of_CBP_custody]])</f>
        <v>5</v>
      </c>
    </row>
    <row r="602" spans="1:18" x14ac:dyDescent="0.3">
      <c r="A602">
        <v>601</v>
      </c>
      <c r="B602" s="7">
        <v>45837</v>
      </c>
      <c r="C602" s="5">
        <v>5</v>
      </c>
      <c r="D602" s="5">
        <v>17</v>
      </c>
      <c r="E602" s="5">
        <v>7</v>
      </c>
      <c r="F602" s="5">
        <v>2413</v>
      </c>
      <c r="G602" s="5">
        <v>20</v>
      </c>
      <c r="H602" t="str">
        <f t="shared" si="46"/>
        <v>Valid</v>
      </c>
      <c r="I602" t="str">
        <f t="shared" si="47"/>
        <v>Valid</v>
      </c>
      <c r="J602" s="5">
        <f t="shared" si="48"/>
        <v>2393</v>
      </c>
      <c r="K602" s="5">
        <f t="shared" si="49"/>
        <v>2430</v>
      </c>
      <c r="L602" s="5">
        <f>IF(Table1[[#This Row],[Total_System_Load]]&gt;80%*AVERAGE(Table1[Total_System_Load]),Table1[[#This Row],[Total_System_Load]]-Table1[[#This Row],[Total_Children_Under_Care]],0)</f>
        <v>0</v>
      </c>
      <c r="M602" s="5">
        <f t="shared" si="45"/>
        <v>-13</v>
      </c>
      <c r="N602" s="5">
        <f>M603-Table1[[#This Row],[Net_Daily_Intake]]</f>
        <v>5</v>
      </c>
      <c r="O602" s="5">
        <f>M603-Table1[[#This Row],[Net_Daily_Intake]]/Table1[[#This Row],[Net_Daily_Intake]]</f>
        <v>-9</v>
      </c>
      <c r="P602" t="str">
        <f>IF(Table1[[#This Row],[Change_in_Net_Daily_Intake]]&gt;0,"Sustained Positive","Negative")</f>
        <v>Sustained Positive</v>
      </c>
      <c r="Q602" s="1">
        <f>(Table1[[#This Row],[Total_System_Load]]-Table1[[#This Row],[Total_Children_Under_Care]])/Table1[[#This Row],[Total_Children_Under_Care]]*100</f>
        <v>1.5461763476807355</v>
      </c>
      <c r="R602" s="1">
        <f>(Table1[[#This Row],[Children_discharged _from_HHS_ Care]]/Table1[[#This Row],[Children_transferred_out_of_CBP_custody]])</f>
        <v>2.8571428571428572</v>
      </c>
    </row>
    <row r="603" spans="1:18" x14ac:dyDescent="0.3">
      <c r="A603">
        <v>602</v>
      </c>
      <c r="B603" s="7">
        <v>45838</v>
      </c>
      <c r="C603" s="5">
        <v>9</v>
      </c>
      <c r="D603" s="5">
        <v>22</v>
      </c>
      <c r="E603" s="5">
        <v>8</v>
      </c>
      <c r="F603" s="5">
        <v>2407</v>
      </c>
      <c r="G603" s="5">
        <v>16</v>
      </c>
      <c r="H603" t="str">
        <f t="shared" si="46"/>
        <v>Valid</v>
      </c>
      <c r="I603" t="str">
        <f t="shared" si="47"/>
        <v>Valid</v>
      </c>
      <c r="J603" s="5">
        <f t="shared" si="48"/>
        <v>2391</v>
      </c>
      <c r="K603" s="5">
        <f t="shared" si="49"/>
        <v>2429</v>
      </c>
      <c r="L603" s="5">
        <f>IF(Table1[[#This Row],[Total_System_Load]]&gt;80%*AVERAGE(Table1[Total_System_Load]),Table1[[#This Row],[Total_System_Load]]-Table1[[#This Row],[Total_Children_Under_Care]],0)</f>
        <v>0</v>
      </c>
      <c r="M603" s="5">
        <f t="shared" si="45"/>
        <v>-8</v>
      </c>
      <c r="N603" s="5">
        <f>M604-Table1[[#This Row],[Net_Daily_Intake]]</f>
        <v>-8</v>
      </c>
      <c r="O603" s="5">
        <f>M604-Table1[[#This Row],[Net_Daily_Intake]]/Table1[[#This Row],[Net_Daily_Intake]]</f>
        <v>-17</v>
      </c>
      <c r="P603" t="str">
        <f>IF(Table1[[#This Row],[Change_in_Net_Daily_Intake]]&gt;0,"Sustained Positive","Negative")</f>
        <v>Negative</v>
      </c>
      <c r="Q603" s="1">
        <f>(Table1[[#This Row],[Total_System_Load]]-Table1[[#This Row],[Total_Children_Under_Care]])/Table1[[#This Row],[Total_Children_Under_Care]]*100</f>
        <v>1.589293182768716</v>
      </c>
      <c r="R603" s="1">
        <f>(Table1[[#This Row],[Children_discharged _from_HHS_ Care]]/Table1[[#This Row],[Children_transferred_out_of_CBP_custody]])</f>
        <v>2</v>
      </c>
    </row>
    <row r="604" spans="1:18" x14ac:dyDescent="0.3">
      <c r="A604">
        <v>603</v>
      </c>
      <c r="B604" s="7">
        <v>45839</v>
      </c>
      <c r="C604" s="5">
        <v>7</v>
      </c>
      <c r="D604" s="5">
        <v>14</v>
      </c>
      <c r="E604" s="5">
        <v>6</v>
      </c>
      <c r="F604" s="5">
        <v>2391</v>
      </c>
      <c r="G604" s="5">
        <v>22</v>
      </c>
      <c r="H604" t="str">
        <f t="shared" si="46"/>
        <v>Valid</v>
      </c>
      <c r="I604" t="str">
        <f t="shared" si="47"/>
        <v>Valid</v>
      </c>
      <c r="J604" s="5">
        <f t="shared" si="48"/>
        <v>2369</v>
      </c>
      <c r="K604" s="5">
        <f t="shared" si="49"/>
        <v>2405</v>
      </c>
      <c r="L604" s="5">
        <f>IF(Table1[[#This Row],[Total_System_Load]]&gt;80%*AVERAGE(Table1[Total_System_Load]),Table1[[#This Row],[Total_System_Load]]-Table1[[#This Row],[Total_Children_Under_Care]],0)</f>
        <v>0</v>
      </c>
      <c r="M604" s="5">
        <f t="shared" si="45"/>
        <v>-16</v>
      </c>
      <c r="N604" s="5">
        <f>M605-Table1[[#This Row],[Net_Daily_Intake]]</f>
        <v>-13</v>
      </c>
      <c r="O604" s="5">
        <f>M605-Table1[[#This Row],[Net_Daily_Intake]]/Table1[[#This Row],[Net_Daily_Intake]]</f>
        <v>-30</v>
      </c>
      <c r="P604" t="str">
        <f>IF(Table1[[#This Row],[Change_in_Net_Daily_Intake]]&gt;0,"Sustained Positive","Negative")</f>
        <v>Negative</v>
      </c>
      <c r="Q604" s="1">
        <f>(Table1[[#This Row],[Total_System_Load]]-Table1[[#This Row],[Total_Children_Under_Care]])/Table1[[#This Row],[Total_Children_Under_Care]]*100</f>
        <v>1.5196285352469396</v>
      </c>
      <c r="R604" s="1">
        <f>(Table1[[#This Row],[Children_discharged _from_HHS_ Care]]/Table1[[#This Row],[Children_transferred_out_of_CBP_custody]])</f>
        <v>3.6666666666666665</v>
      </c>
    </row>
    <row r="605" spans="1:18" x14ac:dyDescent="0.3">
      <c r="A605">
        <v>604</v>
      </c>
      <c r="B605" s="7">
        <v>45840</v>
      </c>
      <c r="C605" s="5">
        <v>8</v>
      </c>
      <c r="D605" s="5">
        <v>20</v>
      </c>
      <c r="E605" s="5">
        <v>9</v>
      </c>
      <c r="F605" s="5">
        <v>2373</v>
      </c>
      <c r="G605" s="5">
        <v>38</v>
      </c>
      <c r="H605" t="str">
        <f t="shared" si="46"/>
        <v>Valid</v>
      </c>
      <c r="I605" t="str">
        <f t="shared" si="47"/>
        <v>Valid</v>
      </c>
      <c r="J605" s="5">
        <f t="shared" si="48"/>
        <v>2335</v>
      </c>
      <c r="K605" s="5">
        <f t="shared" si="49"/>
        <v>2393</v>
      </c>
      <c r="L605" s="5">
        <f>IF(Table1[[#This Row],[Total_System_Load]]&gt;80%*AVERAGE(Table1[Total_System_Load]),Table1[[#This Row],[Total_System_Load]]-Table1[[#This Row],[Total_Children_Under_Care]],0)</f>
        <v>0</v>
      </c>
      <c r="M605" s="5">
        <f t="shared" si="45"/>
        <v>-29</v>
      </c>
      <c r="N605" s="5">
        <f>M606-Table1[[#This Row],[Net_Daily_Intake]]</f>
        <v>23</v>
      </c>
      <c r="O605" s="5">
        <f>M606-Table1[[#This Row],[Net_Daily_Intake]]/Table1[[#This Row],[Net_Daily_Intake]]</f>
        <v>-7</v>
      </c>
      <c r="P605" t="str">
        <f>IF(Table1[[#This Row],[Change_in_Net_Daily_Intake]]&gt;0,"Sustained Positive","Negative")</f>
        <v>Sustained Positive</v>
      </c>
      <c r="Q605" s="1">
        <f>(Table1[[#This Row],[Total_System_Load]]-Table1[[#This Row],[Total_Children_Under_Care]])/Table1[[#This Row],[Total_Children_Under_Care]]*100</f>
        <v>2.4839400428265526</v>
      </c>
      <c r="R605" s="1">
        <f>(Table1[[#This Row],[Children_discharged _from_HHS_ Care]]/Table1[[#This Row],[Children_transferred_out_of_CBP_custody]])</f>
        <v>4.2222222222222223</v>
      </c>
    </row>
    <row r="606" spans="1:18" x14ac:dyDescent="0.3">
      <c r="A606">
        <v>605</v>
      </c>
      <c r="B606" s="7">
        <v>45844</v>
      </c>
      <c r="C606" s="5">
        <v>4</v>
      </c>
      <c r="D606" s="5">
        <v>17</v>
      </c>
      <c r="E606" s="5">
        <v>2</v>
      </c>
      <c r="F606" s="5">
        <v>2332</v>
      </c>
      <c r="G606" s="5">
        <v>8</v>
      </c>
      <c r="H606" t="str">
        <f t="shared" si="46"/>
        <v>Valid</v>
      </c>
      <c r="I606" t="str">
        <f t="shared" si="47"/>
        <v>Valid</v>
      </c>
      <c r="J606" s="5">
        <f t="shared" si="48"/>
        <v>2324</v>
      </c>
      <c r="K606" s="5">
        <f t="shared" si="49"/>
        <v>2349</v>
      </c>
      <c r="L606" s="5">
        <f>IF(Table1[[#This Row],[Total_System_Load]]&gt;80%*AVERAGE(Table1[Total_System_Load]),Table1[[#This Row],[Total_System_Load]]-Table1[[#This Row],[Total_Children_Under_Care]],0)</f>
        <v>0</v>
      </c>
      <c r="M606" s="5">
        <f t="shared" si="45"/>
        <v>-6</v>
      </c>
      <c r="N606" s="5">
        <f>M607-Table1[[#This Row],[Net_Daily_Intake]]</f>
        <v>-6</v>
      </c>
      <c r="O606" s="5">
        <f>M607-Table1[[#This Row],[Net_Daily_Intake]]/Table1[[#This Row],[Net_Daily_Intake]]</f>
        <v>-13</v>
      </c>
      <c r="P606" t="str">
        <f>IF(Table1[[#This Row],[Change_in_Net_Daily_Intake]]&gt;0,"Sustained Positive","Negative")</f>
        <v>Negative</v>
      </c>
      <c r="Q606" s="1">
        <f>(Table1[[#This Row],[Total_System_Load]]-Table1[[#This Row],[Total_Children_Under_Care]])/Table1[[#This Row],[Total_Children_Under_Care]]*100</f>
        <v>1.0757314974182444</v>
      </c>
      <c r="R606" s="1">
        <f>(Table1[[#This Row],[Children_discharged _from_HHS_ Care]]/Table1[[#This Row],[Children_transferred_out_of_CBP_custody]])</f>
        <v>4</v>
      </c>
    </row>
    <row r="607" spans="1:18" x14ac:dyDescent="0.3">
      <c r="A607">
        <v>606</v>
      </c>
      <c r="B607" s="7">
        <v>45845</v>
      </c>
      <c r="C607" s="5">
        <v>3</v>
      </c>
      <c r="D607" s="5">
        <v>18</v>
      </c>
      <c r="E607" s="5">
        <v>8</v>
      </c>
      <c r="F607" s="5">
        <v>2317</v>
      </c>
      <c r="G607" s="5">
        <v>20</v>
      </c>
      <c r="H607" t="str">
        <f t="shared" si="46"/>
        <v>Valid</v>
      </c>
      <c r="I607" t="str">
        <f t="shared" si="47"/>
        <v>Valid</v>
      </c>
      <c r="J607" s="5">
        <f t="shared" si="48"/>
        <v>2297</v>
      </c>
      <c r="K607" s="5">
        <f t="shared" si="49"/>
        <v>2335</v>
      </c>
      <c r="L607" s="5">
        <f>IF(Table1[[#This Row],[Total_System_Load]]&gt;80%*AVERAGE(Table1[Total_System_Load]),Table1[[#This Row],[Total_System_Load]]-Table1[[#This Row],[Total_Children_Under_Care]],0)</f>
        <v>0</v>
      </c>
      <c r="M607" s="5">
        <f t="shared" si="45"/>
        <v>-12</v>
      </c>
      <c r="N607" s="5">
        <f>M608-Table1[[#This Row],[Net_Daily_Intake]]</f>
        <v>0</v>
      </c>
      <c r="O607" s="5">
        <f>M608-Table1[[#This Row],[Net_Daily_Intake]]/Table1[[#This Row],[Net_Daily_Intake]]</f>
        <v>-13</v>
      </c>
      <c r="P607" t="str">
        <f>IF(Table1[[#This Row],[Change_in_Net_Daily_Intake]]&gt;0,"Sustained Positive","Negative")</f>
        <v>Negative</v>
      </c>
      <c r="Q607" s="1">
        <f>(Table1[[#This Row],[Total_System_Load]]-Table1[[#This Row],[Total_Children_Under_Care]])/Table1[[#This Row],[Total_Children_Under_Care]]*100</f>
        <v>1.6543317370483239</v>
      </c>
      <c r="R607" s="1">
        <f>(Table1[[#This Row],[Children_discharged _from_HHS_ Care]]/Table1[[#This Row],[Children_transferred_out_of_CBP_custody]])</f>
        <v>2.5</v>
      </c>
    </row>
    <row r="608" spans="1:18" x14ac:dyDescent="0.3">
      <c r="A608">
        <v>607</v>
      </c>
      <c r="B608" s="7">
        <v>45846</v>
      </c>
      <c r="C608" s="5">
        <v>5</v>
      </c>
      <c r="D608" s="5">
        <v>16</v>
      </c>
      <c r="E608" s="5">
        <v>8</v>
      </c>
      <c r="F608" s="5">
        <v>2306</v>
      </c>
      <c r="G608" s="5">
        <v>20</v>
      </c>
      <c r="H608" t="str">
        <f t="shared" si="46"/>
        <v>Valid</v>
      </c>
      <c r="I608" t="str">
        <f t="shared" si="47"/>
        <v>Valid</v>
      </c>
      <c r="J608" s="5">
        <f t="shared" si="48"/>
        <v>2286</v>
      </c>
      <c r="K608" s="5">
        <f t="shared" si="49"/>
        <v>2322</v>
      </c>
      <c r="L608" s="5">
        <f>IF(Table1[[#This Row],[Total_System_Load]]&gt;80%*AVERAGE(Table1[Total_System_Load]),Table1[[#This Row],[Total_System_Load]]-Table1[[#This Row],[Total_Children_Under_Care]],0)</f>
        <v>0</v>
      </c>
      <c r="M608" s="5">
        <f t="shared" si="45"/>
        <v>-12</v>
      </c>
      <c r="N608" s="5">
        <f>M609-Table1[[#This Row],[Net_Daily_Intake]]</f>
        <v>-20</v>
      </c>
      <c r="O608" s="5">
        <f>M609-Table1[[#This Row],[Net_Daily_Intake]]/Table1[[#This Row],[Net_Daily_Intake]]</f>
        <v>-33</v>
      </c>
      <c r="P608" t="str">
        <f>IF(Table1[[#This Row],[Change_in_Net_Daily_Intake]]&gt;0,"Sustained Positive","Negative")</f>
        <v>Negative</v>
      </c>
      <c r="Q608" s="1">
        <f>(Table1[[#This Row],[Total_System_Load]]-Table1[[#This Row],[Total_Children_Under_Care]])/Table1[[#This Row],[Total_Children_Under_Care]]*100</f>
        <v>1.5748031496062991</v>
      </c>
      <c r="R608" s="1">
        <f>(Table1[[#This Row],[Children_discharged _from_HHS_ Care]]/Table1[[#This Row],[Children_transferred_out_of_CBP_custody]])</f>
        <v>2.5</v>
      </c>
    </row>
    <row r="609" spans="1:18" x14ac:dyDescent="0.3">
      <c r="A609">
        <v>608</v>
      </c>
      <c r="B609" s="7">
        <v>45847</v>
      </c>
      <c r="C609" s="5">
        <v>2</v>
      </c>
      <c r="D609" s="5">
        <v>18</v>
      </c>
      <c r="E609" s="5">
        <v>0</v>
      </c>
      <c r="F609" s="5">
        <v>2281</v>
      </c>
      <c r="G609" s="5">
        <v>32</v>
      </c>
      <c r="H609" t="str">
        <f t="shared" si="46"/>
        <v>Valid</v>
      </c>
      <c r="I609" t="str">
        <f t="shared" si="47"/>
        <v>Valid</v>
      </c>
      <c r="J609" s="5">
        <f t="shared" si="48"/>
        <v>2249</v>
      </c>
      <c r="K609" s="5">
        <f t="shared" si="49"/>
        <v>2299</v>
      </c>
      <c r="L609" s="5">
        <f>IF(Table1[[#This Row],[Total_System_Load]]&gt;80%*AVERAGE(Table1[Total_System_Load]),Table1[[#This Row],[Total_System_Load]]-Table1[[#This Row],[Total_Children_Under_Care]],0)</f>
        <v>0</v>
      </c>
      <c r="M609" s="5">
        <f t="shared" si="45"/>
        <v>-32</v>
      </c>
      <c r="N609" s="5">
        <f>M610-Table1[[#This Row],[Net_Daily_Intake]]</f>
        <v>-4</v>
      </c>
      <c r="O609" s="5">
        <f>M610-Table1[[#This Row],[Net_Daily_Intake]]/Table1[[#This Row],[Net_Daily_Intake]]</f>
        <v>-37</v>
      </c>
      <c r="P609" t="str">
        <f>IF(Table1[[#This Row],[Change_in_Net_Daily_Intake]]&gt;0,"Sustained Positive","Negative")</f>
        <v>Negative</v>
      </c>
      <c r="Q609" s="1">
        <f>(Table1[[#This Row],[Total_System_Load]]-Table1[[#This Row],[Total_Children_Under_Care]])/Table1[[#This Row],[Total_Children_Under_Care]]*100</f>
        <v>2.2232103156958649</v>
      </c>
      <c r="R609" s="1">
        <v>0</v>
      </c>
    </row>
    <row r="610" spans="1:18" x14ac:dyDescent="0.3">
      <c r="A610">
        <v>609</v>
      </c>
      <c r="B610" s="7">
        <v>45848</v>
      </c>
      <c r="C610" s="5">
        <v>2</v>
      </c>
      <c r="D610" s="5">
        <v>12</v>
      </c>
      <c r="E610" s="5">
        <v>3</v>
      </c>
      <c r="F610" s="5">
        <v>2252</v>
      </c>
      <c r="G610" s="5">
        <v>39</v>
      </c>
      <c r="H610" t="str">
        <f t="shared" si="46"/>
        <v>Valid</v>
      </c>
      <c r="I610" t="str">
        <f t="shared" si="47"/>
        <v>Valid</v>
      </c>
      <c r="J610" s="5">
        <f t="shared" si="48"/>
        <v>2213</v>
      </c>
      <c r="K610" s="5">
        <f t="shared" si="49"/>
        <v>2264</v>
      </c>
      <c r="L610" s="5">
        <f>IF(Table1[[#This Row],[Total_System_Load]]&gt;80%*AVERAGE(Table1[Total_System_Load]),Table1[[#This Row],[Total_System_Load]]-Table1[[#This Row],[Total_Children_Under_Care]],0)</f>
        <v>0</v>
      </c>
      <c r="M610" s="5">
        <f t="shared" si="45"/>
        <v>-36</v>
      </c>
      <c r="N610" s="5">
        <f>M611-Table1[[#This Row],[Net_Daily_Intake]]</f>
        <v>30</v>
      </c>
      <c r="O610" s="5">
        <f>M611-Table1[[#This Row],[Net_Daily_Intake]]/Table1[[#This Row],[Net_Daily_Intake]]</f>
        <v>-7</v>
      </c>
      <c r="P610" t="str">
        <f>IF(Table1[[#This Row],[Change_in_Net_Daily_Intake]]&gt;0,"Sustained Positive","Negative")</f>
        <v>Sustained Positive</v>
      </c>
      <c r="Q610" s="1">
        <f>(Table1[[#This Row],[Total_System_Load]]-Table1[[#This Row],[Total_Children_Under_Care]])/Table1[[#This Row],[Total_Children_Under_Care]]*100</f>
        <v>2.3045639403524625</v>
      </c>
      <c r="R610" s="1">
        <f>(Table1[[#This Row],[Children_discharged _from_HHS_ Care]]/Table1[[#This Row],[Children_transferred_out_of_CBP_custody]])</f>
        <v>13</v>
      </c>
    </row>
    <row r="611" spans="1:18" x14ac:dyDescent="0.3">
      <c r="A611">
        <v>610</v>
      </c>
      <c r="B611" s="7">
        <v>45851</v>
      </c>
      <c r="C611" s="5">
        <v>1</v>
      </c>
      <c r="D611" s="5">
        <v>13</v>
      </c>
      <c r="E611" s="5">
        <v>4</v>
      </c>
      <c r="F611" s="5">
        <v>2204</v>
      </c>
      <c r="G611" s="5">
        <v>10</v>
      </c>
      <c r="H611" t="str">
        <f t="shared" si="46"/>
        <v>Valid</v>
      </c>
      <c r="I611" t="str">
        <f t="shared" si="47"/>
        <v>Valid</v>
      </c>
      <c r="J611" s="5">
        <f t="shared" si="48"/>
        <v>2194</v>
      </c>
      <c r="K611" s="5">
        <f t="shared" si="49"/>
        <v>2217</v>
      </c>
      <c r="L611" s="5">
        <f>IF(Table1[[#This Row],[Total_System_Load]]&gt;80%*AVERAGE(Table1[Total_System_Load]),Table1[[#This Row],[Total_System_Load]]-Table1[[#This Row],[Total_Children_Under_Care]],0)</f>
        <v>0</v>
      </c>
      <c r="M611" s="5">
        <f t="shared" si="45"/>
        <v>-6</v>
      </c>
      <c r="N611" s="5">
        <f>M612-Table1[[#This Row],[Net_Daily_Intake]]</f>
        <v>-19</v>
      </c>
      <c r="O611" s="5">
        <f>M612-Table1[[#This Row],[Net_Daily_Intake]]/Table1[[#This Row],[Net_Daily_Intake]]</f>
        <v>-26</v>
      </c>
      <c r="P611" t="str">
        <f>IF(Table1[[#This Row],[Change_in_Net_Daily_Intake]]&gt;0,"Sustained Positive","Negative")</f>
        <v>Negative</v>
      </c>
      <c r="Q611" s="1">
        <f>(Table1[[#This Row],[Total_System_Load]]-Table1[[#This Row],[Total_Children_Under_Care]])/Table1[[#This Row],[Total_Children_Under_Care]]*100</f>
        <v>1.048313582497721</v>
      </c>
      <c r="R611" s="1">
        <f>(Table1[[#This Row],[Children_discharged _from_HHS_ Care]]/Table1[[#This Row],[Children_transferred_out_of_CBP_custody]])</f>
        <v>2.5</v>
      </c>
    </row>
    <row r="612" spans="1:18" x14ac:dyDescent="0.3">
      <c r="A612">
        <v>611</v>
      </c>
      <c r="B612" s="7">
        <v>45852</v>
      </c>
      <c r="C612" s="5">
        <v>2</v>
      </c>
      <c r="D612" s="5">
        <v>9</v>
      </c>
      <c r="E612" s="5">
        <v>1</v>
      </c>
      <c r="F612" s="5">
        <v>2181</v>
      </c>
      <c r="G612" s="5">
        <v>26</v>
      </c>
      <c r="H612" t="str">
        <f t="shared" si="46"/>
        <v>Valid</v>
      </c>
      <c r="I612" t="str">
        <f t="shared" si="47"/>
        <v>Valid</v>
      </c>
      <c r="J612" s="5">
        <f t="shared" si="48"/>
        <v>2155</v>
      </c>
      <c r="K612" s="5">
        <f t="shared" si="49"/>
        <v>2190</v>
      </c>
      <c r="L612" s="5">
        <f>IF(Table1[[#This Row],[Total_System_Load]]&gt;80%*AVERAGE(Table1[Total_System_Load]),Table1[[#This Row],[Total_System_Load]]-Table1[[#This Row],[Total_Children_Under_Care]],0)</f>
        <v>0</v>
      </c>
      <c r="M612" s="5">
        <f t="shared" si="45"/>
        <v>-25</v>
      </c>
      <c r="N612" s="5">
        <f>M613-Table1[[#This Row],[Net_Daily_Intake]]</f>
        <v>13</v>
      </c>
      <c r="O612" s="5">
        <f>M613-Table1[[#This Row],[Net_Daily_Intake]]/Table1[[#This Row],[Net_Daily_Intake]]</f>
        <v>-13</v>
      </c>
      <c r="P612" t="str">
        <f>IF(Table1[[#This Row],[Change_in_Net_Daily_Intake]]&gt;0,"Sustained Positive","Negative")</f>
        <v>Sustained Positive</v>
      </c>
      <c r="Q612" s="1">
        <f>(Table1[[#This Row],[Total_System_Load]]-Table1[[#This Row],[Total_Children_Under_Care]])/Table1[[#This Row],[Total_Children_Under_Care]]*100</f>
        <v>1.6241299303944314</v>
      </c>
      <c r="R612" s="1">
        <f>(Table1[[#This Row],[Children_discharged _from_HHS_ Care]]/Table1[[#This Row],[Children_transferred_out_of_CBP_custody]])</f>
        <v>26</v>
      </c>
    </row>
    <row r="613" spans="1:18" x14ac:dyDescent="0.3">
      <c r="A613">
        <v>612</v>
      </c>
      <c r="B613" s="7">
        <v>45853</v>
      </c>
      <c r="C613" s="5">
        <v>0</v>
      </c>
      <c r="D613" s="5">
        <v>8</v>
      </c>
      <c r="E613" s="5">
        <v>5</v>
      </c>
      <c r="F613" s="5">
        <v>2171</v>
      </c>
      <c r="G613" s="5">
        <v>17</v>
      </c>
      <c r="H613" t="str">
        <f t="shared" si="46"/>
        <v>Valid</v>
      </c>
      <c r="I613" t="str">
        <f t="shared" si="47"/>
        <v>Valid</v>
      </c>
      <c r="J613" s="5">
        <f t="shared" si="48"/>
        <v>2154</v>
      </c>
      <c r="K613" s="5">
        <f t="shared" si="49"/>
        <v>2179</v>
      </c>
      <c r="L613" s="5">
        <f>IF(Table1[[#This Row],[Total_System_Load]]&gt;80%*AVERAGE(Table1[Total_System_Load]),Table1[[#This Row],[Total_System_Load]]-Table1[[#This Row],[Total_Children_Under_Care]],0)</f>
        <v>0</v>
      </c>
      <c r="M613" s="5">
        <f t="shared" si="45"/>
        <v>-12</v>
      </c>
      <c r="N613" s="5">
        <f>M614-Table1[[#This Row],[Net_Daily_Intake]]</f>
        <v>1</v>
      </c>
      <c r="O613" s="5">
        <f>M614-Table1[[#This Row],[Net_Daily_Intake]]/Table1[[#This Row],[Net_Daily_Intake]]</f>
        <v>-12</v>
      </c>
      <c r="P613" t="str">
        <f>IF(Table1[[#This Row],[Change_in_Net_Daily_Intake]]&gt;0,"Sustained Positive","Negative")</f>
        <v>Sustained Positive</v>
      </c>
      <c r="Q613" s="1">
        <f>(Table1[[#This Row],[Total_System_Load]]-Table1[[#This Row],[Total_Children_Under_Care]])/Table1[[#This Row],[Total_Children_Under_Care]]*100</f>
        <v>1.160631383472609</v>
      </c>
      <c r="R613" s="1">
        <f>(Table1[[#This Row],[Children_discharged _from_HHS_ Care]]/Table1[[#This Row],[Children_transferred_out_of_CBP_custody]])</f>
        <v>3.4</v>
      </c>
    </row>
    <row r="614" spans="1:18" x14ac:dyDescent="0.3">
      <c r="A614">
        <v>613</v>
      </c>
      <c r="B614" s="7">
        <v>45854</v>
      </c>
      <c r="C614" s="5">
        <v>1</v>
      </c>
      <c r="D614" s="5">
        <v>9</v>
      </c>
      <c r="E614" s="5">
        <v>0</v>
      </c>
      <c r="F614" s="5">
        <v>2164</v>
      </c>
      <c r="G614" s="5">
        <v>11</v>
      </c>
      <c r="H614" t="str">
        <f t="shared" si="46"/>
        <v>Valid</v>
      </c>
      <c r="I614" t="str">
        <f t="shared" si="47"/>
        <v>Valid</v>
      </c>
      <c r="J614" s="5">
        <f t="shared" si="48"/>
        <v>2153</v>
      </c>
      <c r="K614" s="5">
        <f t="shared" si="49"/>
        <v>2173</v>
      </c>
      <c r="L614" s="5">
        <f>IF(Table1[[#This Row],[Total_System_Load]]&gt;80%*AVERAGE(Table1[Total_System_Load]),Table1[[#This Row],[Total_System_Load]]-Table1[[#This Row],[Total_Children_Under_Care]],0)</f>
        <v>0</v>
      </c>
      <c r="M614" s="5">
        <f t="shared" si="45"/>
        <v>-11</v>
      </c>
      <c r="N614" s="5">
        <f>M615-Table1[[#This Row],[Net_Daily_Intake]]</f>
        <v>-4</v>
      </c>
      <c r="O614" s="5">
        <f>M615-Table1[[#This Row],[Net_Daily_Intake]]/Table1[[#This Row],[Net_Daily_Intake]]</f>
        <v>-16</v>
      </c>
      <c r="P614" t="str">
        <f>IF(Table1[[#This Row],[Change_in_Net_Daily_Intake]]&gt;0,"Sustained Positive","Negative")</f>
        <v>Negative</v>
      </c>
      <c r="Q614" s="1">
        <f>(Table1[[#This Row],[Total_System_Load]]-Table1[[#This Row],[Total_Children_Under_Care]])/Table1[[#This Row],[Total_Children_Under_Care]]*100</f>
        <v>0.92893636785880174</v>
      </c>
      <c r="R614" s="1">
        <v>0</v>
      </c>
    </row>
    <row r="615" spans="1:18" x14ac:dyDescent="0.3">
      <c r="A615">
        <v>614</v>
      </c>
      <c r="B615" s="7">
        <v>45855</v>
      </c>
      <c r="C615" s="5">
        <v>3</v>
      </c>
      <c r="D615" s="5">
        <v>16</v>
      </c>
      <c r="E615" s="5">
        <v>2</v>
      </c>
      <c r="F615" s="5">
        <v>2153</v>
      </c>
      <c r="G615" s="5">
        <v>17</v>
      </c>
      <c r="H615" t="str">
        <f t="shared" si="46"/>
        <v>Valid</v>
      </c>
      <c r="I615" t="str">
        <f t="shared" si="47"/>
        <v>Valid</v>
      </c>
      <c r="J615" s="5">
        <f t="shared" si="48"/>
        <v>2136</v>
      </c>
      <c r="K615" s="5">
        <f t="shared" si="49"/>
        <v>2169</v>
      </c>
      <c r="L615" s="5">
        <f>IF(Table1[[#This Row],[Total_System_Load]]&gt;80%*AVERAGE(Table1[Total_System_Load]),Table1[[#This Row],[Total_System_Load]]-Table1[[#This Row],[Total_Children_Under_Care]],0)</f>
        <v>0</v>
      </c>
      <c r="M615" s="5">
        <f t="shared" si="45"/>
        <v>-15</v>
      </c>
      <c r="N615" s="5">
        <f>M616-Table1[[#This Row],[Net_Daily_Intake]]</f>
        <v>6</v>
      </c>
      <c r="O615" s="5">
        <f>M616-Table1[[#This Row],[Net_Daily_Intake]]/Table1[[#This Row],[Net_Daily_Intake]]</f>
        <v>-10</v>
      </c>
      <c r="P615" t="str">
        <f>IF(Table1[[#This Row],[Change_in_Net_Daily_Intake]]&gt;0,"Sustained Positive","Negative")</f>
        <v>Sustained Positive</v>
      </c>
      <c r="Q615" s="1">
        <f>(Table1[[#This Row],[Total_System_Load]]-Table1[[#This Row],[Total_Children_Under_Care]])/Table1[[#This Row],[Total_Children_Under_Care]]*100</f>
        <v>1.544943820224719</v>
      </c>
      <c r="R615" s="1">
        <f>(Table1[[#This Row],[Children_discharged _from_HHS_ Care]]/Table1[[#This Row],[Children_transferred_out_of_CBP_custody]])</f>
        <v>8.5</v>
      </c>
    </row>
    <row r="616" spans="1:18" x14ac:dyDescent="0.3">
      <c r="A616">
        <v>615</v>
      </c>
      <c r="B616" s="7">
        <v>45859</v>
      </c>
      <c r="C616" s="5">
        <v>4</v>
      </c>
      <c r="D616" s="5">
        <v>18</v>
      </c>
      <c r="E616" s="5">
        <v>7</v>
      </c>
      <c r="F616" s="5">
        <v>2121</v>
      </c>
      <c r="G616" s="5">
        <v>16</v>
      </c>
      <c r="H616" t="str">
        <f t="shared" si="46"/>
        <v>Valid</v>
      </c>
      <c r="I616" t="str">
        <f t="shared" si="47"/>
        <v>Valid</v>
      </c>
      <c r="J616" s="5">
        <f t="shared" si="48"/>
        <v>2105</v>
      </c>
      <c r="K616" s="5">
        <f t="shared" si="49"/>
        <v>2139</v>
      </c>
      <c r="L616" s="5">
        <f>IF(Table1[[#This Row],[Total_System_Load]]&gt;80%*AVERAGE(Table1[Total_System_Load]),Table1[[#This Row],[Total_System_Load]]-Table1[[#This Row],[Total_Children_Under_Care]],0)</f>
        <v>0</v>
      </c>
      <c r="M616" s="5">
        <f t="shared" si="45"/>
        <v>-9</v>
      </c>
      <c r="N616" s="5">
        <f>M617-Table1[[#This Row],[Net_Daily_Intake]]</f>
        <v>-4</v>
      </c>
      <c r="O616" s="5">
        <f>M617-Table1[[#This Row],[Net_Daily_Intake]]/Table1[[#This Row],[Net_Daily_Intake]]</f>
        <v>-14</v>
      </c>
      <c r="P616" t="str">
        <f>IF(Table1[[#This Row],[Change_in_Net_Daily_Intake]]&gt;0,"Sustained Positive","Negative")</f>
        <v>Negative</v>
      </c>
      <c r="Q616" s="1">
        <f>(Table1[[#This Row],[Total_System_Load]]-Table1[[#This Row],[Total_Children_Under_Care]])/Table1[[#This Row],[Total_Children_Under_Care]]*100</f>
        <v>1.6152019002375297</v>
      </c>
      <c r="R616" s="1">
        <f>(Table1[[#This Row],[Children_discharged _from_HHS_ Care]]/Table1[[#This Row],[Children_transferred_out_of_CBP_custody]])</f>
        <v>2.2857142857142856</v>
      </c>
    </row>
    <row r="617" spans="1:18" x14ac:dyDescent="0.3">
      <c r="A617">
        <v>616</v>
      </c>
      <c r="B617" s="7">
        <v>45860</v>
      </c>
      <c r="C617" s="5">
        <v>5</v>
      </c>
      <c r="D617" s="5">
        <v>13</v>
      </c>
      <c r="E617" s="5">
        <v>3</v>
      </c>
      <c r="F617" s="5">
        <v>2117</v>
      </c>
      <c r="G617" s="5">
        <v>16</v>
      </c>
      <c r="H617" t="str">
        <f t="shared" si="46"/>
        <v>Valid</v>
      </c>
      <c r="I617" t="str">
        <f t="shared" si="47"/>
        <v>Valid</v>
      </c>
      <c r="J617" s="5">
        <f t="shared" si="48"/>
        <v>2101</v>
      </c>
      <c r="K617" s="5">
        <f t="shared" si="49"/>
        <v>2130</v>
      </c>
      <c r="L617" s="5">
        <f>IF(Table1[[#This Row],[Total_System_Load]]&gt;80%*AVERAGE(Table1[Total_System_Load]),Table1[[#This Row],[Total_System_Load]]-Table1[[#This Row],[Total_Children_Under_Care]],0)</f>
        <v>0</v>
      </c>
      <c r="M617" s="5">
        <f t="shared" si="45"/>
        <v>-13</v>
      </c>
      <c r="N617" s="5">
        <f>M618-Table1[[#This Row],[Net_Daily_Intake]]</f>
        <v>4</v>
      </c>
      <c r="O617" s="5">
        <f>M618-Table1[[#This Row],[Net_Daily_Intake]]/Table1[[#This Row],[Net_Daily_Intake]]</f>
        <v>-10</v>
      </c>
      <c r="P617" t="str">
        <f>IF(Table1[[#This Row],[Change_in_Net_Daily_Intake]]&gt;0,"Sustained Positive","Negative")</f>
        <v>Sustained Positive</v>
      </c>
      <c r="Q617" s="1">
        <f>(Table1[[#This Row],[Total_System_Load]]-Table1[[#This Row],[Total_Children_Under_Care]])/Table1[[#This Row],[Total_Children_Under_Care]]*100</f>
        <v>1.3802950975725845</v>
      </c>
      <c r="R617" s="1">
        <f>(Table1[[#This Row],[Children_discharged _from_HHS_ Care]]/Table1[[#This Row],[Children_transferred_out_of_CBP_custody]])</f>
        <v>5.333333333333333</v>
      </c>
    </row>
    <row r="618" spans="1:18" x14ac:dyDescent="0.3">
      <c r="A618">
        <v>617</v>
      </c>
      <c r="B618" s="7">
        <v>45861</v>
      </c>
      <c r="C618" s="5">
        <v>6</v>
      </c>
      <c r="D618" s="5">
        <v>21</v>
      </c>
      <c r="E618" s="5">
        <v>5</v>
      </c>
      <c r="F618" s="5">
        <v>2111</v>
      </c>
      <c r="G618" s="5">
        <v>14</v>
      </c>
      <c r="H618" t="str">
        <f t="shared" si="46"/>
        <v>Valid</v>
      </c>
      <c r="I618" t="str">
        <f t="shared" si="47"/>
        <v>Valid</v>
      </c>
      <c r="J618" s="5">
        <f t="shared" si="48"/>
        <v>2097</v>
      </c>
      <c r="K618" s="5">
        <f t="shared" si="49"/>
        <v>2132</v>
      </c>
      <c r="L618" s="5">
        <f>IF(Table1[[#This Row],[Total_System_Load]]&gt;80%*AVERAGE(Table1[Total_System_Load]),Table1[[#This Row],[Total_System_Load]]-Table1[[#This Row],[Total_Children_Under_Care]],0)</f>
        <v>0</v>
      </c>
      <c r="M618" s="5">
        <f t="shared" si="45"/>
        <v>-9</v>
      </c>
      <c r="N618" s="5">
        <f>M619-Table1[[#This Row],[Net_Daily_Intake]]</f>
        <v>-13</v>
      </c>
      <c r="O618" s="5">
        <f>M619-Table1[[#This Row],[Net_Daily_Intake]]/Table1[[#This Row],[Net_Daily_Intake]]</f>
        <v>-23</v>
      </c>
      <c r="P618" t="str">
        <f>IF(Table1[[#This Row],[Change_in_Net_Daily_Intake]]&gt;0,"Sustained Positive","Negative")</f>
        <v>Negative</v>
      </c>
      <c r="Q618" s="1">
        <f>(Table1[[#This Row],[Total_System_Load]]-Table1[[#This Row],[Total_Children_Under_Care]])/Table1[[#This Row],[Total_Children_Under_Care]]*100</f>
        <v>1.6690510252742015</v>
      </c>
      <c r="R618" s="1">
        <f>(Table1[[#This Row],[Children_discharged _from_HHS_ Care]]/Table1[[#This Row],[Children_transferred_out_of_CBP_custody]])</f>
        <v>2.8</v>
      </c>
    </row>
    <row r="619" spans="1:18" x14ac:dyDescent="0.3">
      <c r="A619">
        <v>618</v>
      </c>
      <c r="B619" s="7">
        <v>45862</v>
      </c>
      <c r="C619" s="5">
        <v>6</v>
      </c>
      <c r="D619" s="5">
        <v>18</v>
      </c>
      <c r="E619" s="5">
        <v>7</v>
      </c>
      <c r="F619" s="5">
        <v>2096</v>
      </c>
      <c r="G619" s="5">
        <v>29</v>
      </c>
      <c r="H619" t="str">
        <f t="shared" si="46"/>
        <v>Valid</v>
      </c>
      <c r="I619" t="str">
        <f t="shared" si="47"/>
        <v>Valid</v>
      </c>
      <c r="J619" s="5">
        <f t="shared" si="48"/>
        <v>2067</v>
      </c>
      <c r="K619" s="5">
        <f t="shared" si="49"/>
        <v>2114</v>
      </c>
      <c r="L619" s="5">
        <f>IF(Table1[[#This Row],[Total_System_Load]]&gt;80%*AVERAGE(Table1[Total_System_Load]),Table1[[#This Row],[Total_System_Load]]-Table1[[#This Row],[Total_Children_Under_Care]],0)</f>
        <v>0</v>
      </c>
      <c r="M619" s="5">
        <f t="shared" si="45"/>
        <v>-22</v>
      </c>
      <c r="N619" s="5">
        <f>M620-Table1[[#This Row],[Net_Daily_Intake]]</f>
        <v>20</v>
      </c>
      <c r="O619" s="5">
        <f>M620-Table1[[#This Row],[Net_Daily_Intake]]/Table1[[#This Row],[Net_Daily_Intake]]</f>
        <v>-3</v>
      </c>
      <c r="P619" t="str">
        <f>IF(Table1[[#This Row],[Change_in_Net_Daily_Intake]]&gt;0,"Sustained Positive","Negative")</f>
        <v>Sustained Positive</v>
      </c>
      <c r="Q619" s="1">
        <f>(Table1[[#This Row],[Total_System_Load]]-Table1[[#This Row],[Total_Children_Under_Care]])/Table1[[#This Row],[Total_Children_Under_Care]]*100</f>
        <v>2.2738268021286889</v>
      </c>
      <c r="R619" s="1">
        <f>(Table1[[#This Row],[Children_discharged _from_HHS_ Care]]/Table1[[#This Row],[Children_transferred_out_of_CBP_custody]])</f>
        <v>4.1428571428571432</v>
      </c>
    </row>
    <row r="620" spans="1:18" x14ac:dyDescent="0.3">
      <c r="A620">
        <v>619</v>
      </c>
      <c r="B620" s="7">
        <v>45865</v>
      </c>
      <c r="C620" s="5">
        <v>1</v>
      </c>
      <c r="D620" s="5">
        <v>12</v>
      </c>
      <c r="E620" s="5">
        <v>2</v>
      </c>
      <c r="F620" s="5">
        <v>2088</v>
      </c>
      <c r="G620" s="5">
        <v>4</v>
      </c>
      <c r="H620" t="str">
        <f t="shared" si="46"/>
        <v>Valid</v>
      </c>
      <c r="I620" t="str">
        <f t="shared" si="47"/>
        <v>Valid</v>
      </c>
      <c r="J620" s="5">
        <f t="shared" si="48"/>
        <v>2084</v>
      </c>
      <c r="K620" s="5">
        <f t="shared" si="49"/>
        <v>2100</v>
      </c>
      <c r="L620" s="5">
        <f>IF(Table1[[#This Row],[Total_System_Load]]&gt;80%*AVERAGE(Table1[Total_System_Load]),Table1[[#This Row],[Total_System_Load]]-Table1[[#This Row],[Total_Children_Under_Care]],0)</f>
        <v>0</v>
      </c>
      <c r="M620" s="5">
        <f t="shared" si="45"/>
        <v>-2</v>
      </c>
      <c r="N620" s="5">
        <f>M621-Table1[[#This Row],[Net_Daily_Intake]]</f>
        <v>-9</v>
      </c>
      <c r="O620" s="5">
        <f>M621-Table1[[#This Row],[Net_Daily_Intake]]/Table1[[#This Row],[Net_Daily_Intake]]</f>
        <v>-12</v>
      </c>
      <c r="P620" t="str">
        <f>IF(Table1[[#This Row],[Change_in_Net_Daily_Intake]]&gt;0,"Sustained Positive","Negative")</f>
        <v>Negative</v>
      </c>
      <c r="Q620" s="1">
        <f>(Table1[[#This Row],[Total_System_Load]]-Table1[[#This Row],[Total_Children_Under_Care]])/Table1[[#This Row],[Total_Children_Under_Care]]*100</f>
        <v>0.76775431861804222</v>
      </c>
      <c r="R620" s="1">
        <f>(Table1[[#This Row],[Children_discharged _from_HHS_ Care]]/Table1[[#This Row],[Children_transferred_out_of_CBP_custody]])</f>
        <v>2</v>
      </c>
    </row>
    <row r="621" spans="1:18" x14ac:dyDescent="0.3">
      <c r="A621">
        <v>620</v>
      </c>
      <c r="B621" s="7">
        <v>45866</v>
      </c>
      <c r="C621" s="5">
        <v>2</v>
      </c>
      <c r="D621" s="5">
        <v>9</v>
      </c>
      <c r="E621" s="5">
        <v>3</v>
      </c>
      <c r="F621" s="5">
        <v>2080</v>
      </c>
      <c r="G621" s="5">
        <v>14</v>
      </c>
      <c r="H621" t="str">
        <f t="shared" si="46"/>
        <v>Valid</v>
      </c>
      <c r="I621" t="str">
        <f t="shared" si="47"/>
        <v>Valid</v>
      </c>
      <c r="J621" s="5">
        <f t="shared" si="48"/>
        <v>2066</v>
      </c>
      <c r="K621" s="5">
        <f t="shared" si="49"/>
        <v>2089</v>
      </c>
      <c r="L621" s="5">
        <f>IF(Table1[[#This Row],[Total_System_Load]]&gt;80%*AVERAGE(Table1[Total_System_Load]),Table1[[#This Row],[Total_System_Load]]-Table1[[#This Row],[Total_Children_Under_Care]],0)</f>
        <v>0</v>
      </c>
      <c r="M621" s="5">
        <f t="shared" si="45"/>
        <v>-11</v>
      </c>
      <c r="N621" s="5">
        <f>M622-Table1[[#This Row],[Net_Daily_Intake]]</f>
        <v>2</v>
      </c>
      <c r="O621" s="5">
        <f>M622-Table1[[#This Row],[Net_Daily_Intake]]/Table1[[#This Row],[Net_Daily_Intake]]</f>
        <v>-10</v>
      </c>
      <c r="P621" t="str">
        <f>IF(Table1[[#This Row],[Change_in_Net_Daily_Intake]]&gt;0,"Sustained Positive","Negative")</f>
        <v>Sustained Positive</v>
      </c>
      <c r="Q621" s="1">
        <f>(Table1[[#This Row],[Total_System_Load]]-Table1[[#This Row],[Total_Children_Under_Care]])/Table1[[#This Row],[Total_Children_Under_Care]]*100</f>
        <v>1.1132623426911907</v>
      </c>
      <c r="R621" s="1">
        <f>(Table1[[#This Row],[Children_discharged _from_HHS_ Care]]/Table1[[#This Row],[Children_transferred_out_of_CBP_custody]])</f>
        <v>4.666666666666667</v>
      </c>
    </row>
    <row r="622" spans="1:18" x14ac:dyDescent="0.3">
      <c r="A622">
        <v>621</v>
      </c>
      <c r="B622" s="7">
        <v>45867</v>
      </c>
      <c r="C622" s="5">
        <v>2</v>
      </c>
      <c r="D622" s="5">
        <v>8</v>
      </c>
      <c r="E622" s="5">
        <v>3</v>
      </c>
      <c r="F622" s="5">
        <v>2072</v>
      </c>
      <c r="G622" s="5">
        <v>12</v>
      </c>
      <c r="H622" t="str">
        <f t="shared" si="46"/>
        <v>Valid</v>
      </c>
      <c r="I622" t="str">
        <f t="shared" si="47"/>
        <v>Valid</v>
      </c>
      <c r="J622" s="5">
        <f t="shared" si="48"/>
        <v>2060</v>
      </c>
      <c r="K622" s="5">
        <f t="shared" si="49"/>
        <v>2080</v>
      </c>
      <c r="L622" s="5">
        <f>IF(Table1[[#This Row],[Total_System_Load]]&gt;80%*AVERAGE(Table1[Total_System_Load]),Table1[[#This Row],[Total_System_Load]]-Table1[[#This Row],[Total_Children_Under_Care]],0)</f>
        <v>0</v>
      </c>
      <c r="M622" s="5">
        <f t="shared" si="45"/>
        <v>-9</v>
      </c>
      <c r="N622" s="5">
        <f>M623-Table1[[#This Row],[Net_Daily_Intake]]</f>
        <v>-3</v>
      </c>
      <c r="O622" s="5">
        <f>M623-Table1[[#This Row],[Net_Daily_Intake]]/Table1[[#This Row],[Net_Daily_Intake]]</f>
        <v>-13</v>
      </c>
      <c r="P622" t="str">
        <f>IF(Table1[[#This Row],[Change_in_Net_Daily_Intake]]&gt;0,"Sustained Positive","Negative")</f>
        <v>Negative</v>
      </c>
      <c r="Q622" s="1">
        <f>(Table1[[#This Row],[Total_System_Load]]-Table1[[#This Row],[Total_Children_Under_Care]])/Table1[[#This Row],[Total_Children_Under_Care]]*100</f>
        <v>0.97087378640776689</v>
      </c>
      <c r="R622" s="1">
        <f>(Table1[[#This Row],[Children_discharged _from_HHS_ Care]]/Table1[[#This Row],[Children_transferred_out_of_CBP_custody]])</f>
        <v>4</v>
      </c>
    </row>
    <row r="623" spans="1:18" x14ac:dyDescent="0.3">
      <c r="A623">
        <v>622</v>
      </c>
      <c r="B623" s="7">
        <v>45868</v>
      </c>
      <c r="C623" s="5">
        <v>4</v>
      </c>
      <c r="D623" s="5">
        <v>15</v>
      </c>
      <c r="E623" s="5">
        <v>4</v>
      </c>
      <c r="F623" s="5">
        <v>2063</v>
      </c>
      <c r="G623" s="5">
        <v>16</v>
      </c>
      <c r="H623" t="str">
        <f t="shared" si="46"/>
        <v>Valid</v>
      </c>
      <c r="I623" t="str">
        <f t="shared" si="47"/>
        <v>Valid</v>
      </c>
      <c r="J623" s="5">
        <f t="shared" si="48"/>
        <v>2047</v>
      </c>
      <c r="K623" s="5">
        <f t="shared" si="49"/>
        <v>2078</v>
      </c>
      <c r="L623" s="5">
        <f>IF(Table1[[#This Row],[Total_System_Load]]&gt;80%*AVERAGE(Table1[Total_System_Load]),Table1[[#This Row],[Total_System_Load]]-Table1[[#This Row],[Total_Children_Under_Care]],0)</f>
        <v>0</v>
      </c>
      <c r="M623" s="5">
        <f t="shared" si="45"/>
        <v>-12</v>
      </c>
      <c r="N623" s="5">
        <f>M624-Table1[[#This Row],[Net_Daily_Intake]]</f>
        <v>3</v>
      </c>
      <c r="O623" s="5">
        <f>M624-Table1[[#This Row],[Net_Daily_Intake]]/Table1[[#This Row],[Net_Daily_Intake]]</f>
        <v>-10</v>
      </c>
      <c r="P623" t="str">
        <f>IF(Table1[[#This Row],[Change_in_Net_Daily_Intake]]&gt;0,"Sustained Positive","Negative")</f>
        <v>Sustained Positive</v>
      </c>
      <c r="Q623" s="1">
        <f>(Table1[[#This Row],[Total_System_Load]]-Table1[[#This Row],[Total_Children_Under_Care]])/Table1[[#This Row],[Total_Children_Under_Care]]*100</f>
        <v>1.5144113336590133</v>
      </c>
      <c r="R623" s="1">
        <f>(Table1[[#This Row],[Children_discharged _from_HHS_ Care]]/Table1[[#This Row],[Children_transferred_out_of_CBP_custody]])</f>
        <v>4</v>
      </c>
    </row>
    <row r="624" spans="1:18" x14ac:dyDescent="0.3">
      <c r="A624">
        <v>623</v>
      </c>
      <c r="B624" s="7">
        <v>45869</v>
      </c>
      <c r="C624" s="5">
        <v>2</v>
      </c>
      <c r="D624" s="5">
        <v>9</v>
      </c>
      <c r="E624" s="5">
        <v>6</v>
      </c>
      <c r="F624" s="5">
        <v>2058</v>
      </c>
      <c r="G624" s="5">
        <v>15</v>
      </c>
      <c r="H624" t="str">
        <f t="shared" si="46"/>
        <v>Valid</v>
      </c>
      <c r="I624" t="str">
        <f t="shared" si="47"/>
        <v>Valid</v>
      </c>
      <c r="J624" s="5">
        <f t="shared" si="48"/>
        <v>2043</v>
      </c>
      <c r="K624" s="5">
        <f t="shared" si="49"/>
        <v>2067</v>
      </c>
      <c r="L624" s="5">
        <f>IF(Table1[[#This Row],[Total_System_Load]]&gt;80%*AVERAGE(Table1[Total_System_Load]),Table1[[#This Row],[Total_System_Load]]-Table1[[#This Row],[Total_Children_Under_Care]],0)</f>
        <v>0</v>
      </c>
      <c r="M624" s="5">
        <f t="shared" si="45"/>
        <v>-9</v>
      </c>
      <c r="N624" s="5">
        <f>M625-Table1[[#This Row],[Net_Daily_Intake]]</f>
        <v>7</v>
      </c>
      <c r="O624" s="5">
        <f>M625-Table1[[#This Row],[Net_Daily_Intake]]/Table1[[#This Row],[Net_Daily_Intake]]</f>
        <v>-3</v>
      </c>
      <c r="P624" t="str">
        <f>IF(Table1[[#This Row],[Change_in_Net_Daily_Intake]]&gt;0,"Sustained Positive","Negative")</f>
        <v>Sustained Positive</v>
      </c>
      <c r="Q624" s="1">
        <f>(Table1[[#This Row],[Total_System_Load]]-Table1[[#This Row],[Total_Children_Under_Care]])/Table1[[#This Row],[Total_Children_Under_Care]]*100</f>
        <v>1.1747430249632893</v>
      </c>
      <c r="R624" s="1">
        <f>(Table1[[#This Row],[Children_discharged _from_HHS_ Care]]/Table1[[#This Row],[Children_transferred_out_of_CBP_custody]])</f>
        <v>2.5</v>
      </c>
    </row>
    <row r="625" spans="1:18" x14ac:dyDescent="0.3">
      <c r="A625">
        <v>624</v>
      </c>
      <c r="B625" s="7">
        <v>45872</v>
      </c>
      <c r="C625" s="5">
        <v>5</v>
      </c>
      <c r="D625" s="5">
        <v>26</v>
      </c>
      <c r="E625" s="5">
        <v>3</v>
      </c>
      <c r="F625" s="5">
        <v>2049</v>
      </c>
      <c r="G625" s="5">
        <v>5</v>
      </c>
      <c r="H625" t="str">
        <f t="shared" si="46"/>
        <v>Valid</v>
      </c>
      <c r="I625" t="str">
        <f t="shared" si="47"/>
        <v>Valid</v>
      </c>
      <c r="J625" s="5">
        <f t="shared" si="48"/>
        <v>2044</v>
      </c>
      <c r="K625" s="5">
        <f t="shared" si="49"/>
        <v>2075</v>
      </c>
      <c r="L625" s="5">
        <f>IF(Table1[[#This Row],[Total_System_Load]]&gt;80%*AVERAGE(Table1[Total_System_Load]),Table1[[#This Row],[Total_System_Load]]-Table1[[#This Row],[Total_Children_Under_Care]],0)</f>
        <v>0</v>
      </c>
      <c r="M625" s="5">
        <f t="shared" si="45"/>
        <v>-2</v>
      </c>
      <c r="N625" s="5">
        <f>M626-Table1[[#This Row],[Net_Daily_Intake]]</f>
        <v>-1</v>
      </c>
      <c r="O625" s="5">
        <f>M626-Table1[[#This Row],[Net_Daily_Intake]]/Table1[[#This Row],[Net_Daily_Intake]]</f>
        <v>-4</v>
      </c>
      <c r="P625" t="str">
        <f>IF(Table1[[#This Row],[Change_in_Net_Daily_Intake]]&gt;0,"Sustained Positive","Negative")</f>
        <v>Negative</v>
      </c>
      <c r="Q625" s="1">
        <f>(Table1[[#This Row],[Total_System_Load]]-Table1[[#This Row],[Total_Children_Under_Care]])/Table1[[#This Row],[Total_Children_Under_Care]]*100</f>
        <v>1.5166340508806262</v>
      </c>
      <c r="R625" s="1">
        <f>(Table1[[#This Row],[Children_discharged _from_HHS_ Care]]/Table1[[#This Row],[Children_transferred_out_of_CBP_custody]])</f>
        <v>1.6666666666666667</v>
      </c>
    </row>
    <row r="626" spans="1:18" x14ac:dyDescent="0.3">
      <c r="A626">
        <v>625</v>
      </c>
      <c r="B626" s="7">
        <v>45873</v>
      </c>
      <c r="C626" s="5">
        <v>5</v>
      </c>
      <c r="D626" s="5">
        <v>22</v>
      </c>
      <c r="E626" s="5">
        <v>11</v>
      </c>
      <c r="F626" s="5">
        <v>2040</v>
      </c>
      <c r="G626" s="5">
        <v>14</v>
      </c>
      <c r="H626" t="str">
        <f t="shared" si="46"/>
        <v>Valid</v>
      </c>
      <c r="I626" t="str">
        <f t="shared" si="47"/>
        <v>Valid</v>
      </c>
      <c r="J626" s="5">
        <f t="shared" si="48"/>
        <v>2026</v>
      </c>
      <c r="K626" s="5">
        <f t="shared" si="49"/>
        <v>2062</v>
      </c>
      <c r="L626" s="5">
        <f>IF(Table1[[#This Row],[Total_System_Load]]&gt;80%*AVERAGE(Table1[Total_System_Load]),Table1[[#This Row],[Total_System_Load]]-Table1[[#This Row],[Total_Children_Under_Care]],0)</f>
        <v>0</v>
      </c>
      <c r="M626" s="5">
        <f t="shared" si="45"/>
        <v>-3</v>
      </c>
      <c r="N626" s="5">
        <f>M627-Table1[[#This Row],[Net_Daily_Intake]]</f>
        <v>-1</v>
      </c>
      <c r="O626" s="5">
        <f>M627-Table1[[#This Row],[Net_Daily_Intake]]/Table1[[#This Row],[Net_Daily_Intake]]</f>
        <v>-5</v>
      </c>
      <c r="P626" t="str">
        <f>IF(Table1[[#This Row],[Change_in_Net_Daily_Intake]]&gt;0,"Sustained Positive","Negative")</f>
        <v>Negative</v>
      </c>
      <c r="Q626" s="1">
        <f>(Table1[[#This Row],[Total_System_Load]]-Table1[[#This Row],[Total_Children_Under_Care]])/Table1[[#This Row],[Total_Children_Under_Care]]*100</f>
        <v>1.7769002961500493</v>
      </c>
      <c r="R626" s="1">
        <f>(Table1[[#This Row],[Children_discharged _from_HHS_ Care]]/Table1[[#This Row],[Children_transferred_out_of_CBP_custody]])</f>
        <v>1.2727272727272727</v>
      </c>
    </row>
    <row r="627" spans="1:18" x14ac:dyDescent="0.3">
      <c r="A627">
        <v>626</v>
      </c>
      <c r="B627" s="7">
        <v>45874</v>
      </c>
      <c r="C627" s="5">
        <v>2</v>
      </c>
      <c r="D627" s="5">
        <v>21</v>
      </c>
      <c r="E627" s="5">
        <v>10</v>
      </c>
      <c r="F627" s="5">
        <v>2042</v>
      </c>
      <c r="G627" s="5">
        <v>14</v>
      </c>
      <c r="H627" t="str">
        <f t="shared" si="46"/>
        <v>Valid</v>
      </c>
      <c r="I627" t="str">
        <f t="shared" si="47"/>
        <v>Valid</v>
      </c>
      <c r="J627" s="5">
        <f t="shared" si="48"/>
        <v>2028</v>
      </c>
      <c r="K627" s="5">
        <f t="shared" si="49"/>
        <v>2063</v>
      </c>
      <c r="L627" s="5">
        <f>IF(Table1[[#This Row],[Total_System_Load]]&gt;80%*AVERAGE(Table1[Total_System_Load]),Table1[[#This Row],[Total_System_Load]]-Table1[[#This Row],[Total_Children_Under_Care]],0)</f>
        <v>0</v>
      </c>
      <c r="M627" s="5">
        <f t="shared" si="45"/>
        <v>-4</v>
      </c>
      <c r="N627" s="5">
        <f>M628-Table1[[#This Row],[Net_Daily_Intake]]</f>
        <v>-6</v>
      </c>
      <c r="O627" s="5">
        <f>M628-Table1[[#This Row],[Net_Daily_Intake]]/Table1[[#This Row],[Net_Daily_Intake]]</f>
        <v>-11</v>
      </c>
      <c r="P627" t="str">
        <f>IF(Table1[[#This Row],[Change_in_Net_Daily_Intake]]&gt;0,"Sustained Positive","Negative")</f>
        <v>Negative</v>
      </c>
      <c r="Q627" s="1">
        <f>(Table1[[#This Row],[Total_System_Load]]-Table1[[#This Row],[Total_Children_Under_Care]])/Table1[[#This Row],[Total_Children_Under_Care]]*100</f>
        <v>1.7258382642998029</v>
      </c>
      <c r="R627" s="1">
        <f>(Table1[[#This Row],[Children_discharged _from_HHS_ Care]]/Table1[[#This Row],[Children_transferred_out_of_CBP_custody]])</f>
        <v>1.4</v>
      </c>
    </row>
    <row r="628" spans="1:18" x14ac:dyDescent="0.3">
      <c r="A628">
        <v>627</v>
      </c>
      <c r="B628" s="7">
        <v>45875</v>
      </c>
      <c r="C628" s="5">
        <v>4</v>
      </c>
      <c r="D628" s="5">
        <v>17</v>
      </c>
      <c r="E628" s="5">
        <v>3</v>
      </c>
      <c r="F628" s="5">
        <v>2036</v>
      </c>
      <c r="G628" s="5">
        <v>13</v>
      </c>
      <c r="H628" t="str">
        <f t="shared" si="46"/>
        <v>Valid</v>
      </c>
      <c r="I628" t="str">
        <f t="shared" si="47"/>
        <v>Valid</v>
      </c>
      <c r="J628" s="5">
        <f t="shared" si="48"/>
        <v>2023</v>
      </c>
      <c r="K628" s="5">
        <f t="shared" si="49"/>
        <v>2053</v>
      </c>
      <c r="L628" s="5">
        <f>IF(Table1[[#This Row],[Total_System_Load]]&gt;80%*AVERAGE(Table1[Total_System_Load]),Table1[[#This Row],[Total_System_Load]]-Table1[[#This Row],[Total_Children_Under_Care]],0)</f>
        <v>0</v>
      </c>
      <c r="M628" s="5">
        <f t="shared" si="45"/>
        <v>-10</v>
      </c>
      <c r="N628" s="5">
        <f>M629-Table1[[#This Row],[Net_Daily_Intake]]</f>
        <v>-1</v>
      </c>
      <c r="O628" s="5">
        <f>M629-Table1[[#This Row],[Net_Daily_Intake]]/Table1[[#This Row],[Net_Daily_Intake]]</f>
        <v>-12</v>
      </c>
      <c r="P628" t="str">
        <f>IF(Table1[[#This Row],[Change_in_Net_Daily_Intake]]&gt;0,"Sustained Positive","Negative")</f>
        <v>Negative</v>
      </c>
      <c r="Q628" s="1">
        <f>(Table1[[#This Row],[Total_System_Load]]-Table1[[#This Row],[Total_Children_Under_Care]])/Table1[[#This Row],[Total_Children_Under_Care]]*100</f>
        <v>1.4829461196243203</v>
      </c>
      <c r="R628" s="1">
        <f>(Table1[[#This Row],[Children_discharged _from_HHS_ Care]]/Table1[[#This Row],[Children_transferred_out_of_CBP_custody]])</f>
        <v>4.333333333333333</v>
      </c>
    </row>
    <row r="629" spans="1:18" x14ac:dyDescent="0.3">
      <c r="A629">
        <v>628</v>
      </c>
      <c r="B629" s="7">
        <v>45876</v>
      </c>
      <c r="C629" s="5">
        <v>4</v>
      </c>
      <c r="D629" s="5">
        <v>18</v>
      </c>
      <c r="E629" s="5">
        <v>6</v>
      </c>
      <c r="F629" s="5">
        <v>2031</v>
      </c>
      <c r="G629" s="5">
        <v>17</v>
      </c>
      <c r="H629" t="str">
        <f t="shared" si="46"/>
        <v>Valid</v>
      </c>
      <c r="I629" t="str">
        <f t="shared" si="47"/>
        <v>Valid</v>
      </c>
      <c r="J629" s="5">
        <f t="shared" si="48"/>
        <v>2014</v>
      </c>
      <c r="K629" s="5">
        <f t="shared" si="49"/>
        <v>2049</v>
      </c>
      <c r="L629" s="5">
        <f>IF(Table1[[#This Row],[Total_System_Load]]&gt;80%*AVERAGE(Table1[Total_System_Load]),Table1[[#This Row],[Total_System_Load]]-Table1[[#This Row],[Total_Children_Under_Care]],0)</f>
        <v>0</v>
      </c>
      <c r="M629" s="5">
        <f t="shared" si="45"/>
        <v>-11</v>
      </c>
      <c r="N629" s="5">
        <f>M630-Table1[[#This Row],[Net_Daily_Intake]]</f>
        <v>7</v>
      </c>
      <c r="O629" s="5">
        <f>M630-Table1[[#This Row],[Net_Daily_Intake]]/Table1[[#This Row],[Net_Daily_Intake]]</f>
        <v>-5</v>
      </c>
      <c r="P629" t="str">
        <f>IF(Table1[[#This Row],[Change_in_Net_Daily_Intake]]&gt;0,"Sustained Positive","Negative")</f>
        <v>Sustained Positive</v>
      </c>
      <c r="Q629" s="1">
        <f>(Table1[[#This Row],[Total_System_Load]]-Table1[[#This Row],[Total_Children_Under_Care]])/Table1[[#This Row],[Total_Children_Under_Care]]*100</f>
        <v>1.7378351539225421</v>
      </c>
      <c r="R629" s="1">
        <f>(Table1[[#This Row],[Children_discharged _from_HHS_ Care]]/Table1[[#This Row],[Children_transferred_out_of_CBP_custody]])</f>
        <v>2.8333333333333335</v>
      </c>
    </row>
    <row r="630" spans="1:18" x14ac:dyDescent="0.3">
      <c r="A630">
        <v>629</v>
      </c>
      <c r="B630" s="7">
        <v>45879</v>
      </c>
      <c r="C630" s="5">
        <v>0</v>
      </c>
      <c r="D630" s="5">
        <v>18</v>
      </c>
      <c r="E630" s="5">
        <v>8</v>
      </c>
      <c r="F630" s="5">
        <v>2006</v>
      </c>
      <c r="G630" s="5">
        <v>12</v>
      </c>
      <c r="H630" t="str">
        <f t="shared" si="46"/>
        <v>Valid</v>
      </c>
      <c r="I630" t="str">
        <f t="shared" si="47"/>
        <v>Valid</v>
      </c>
      <c r="J630" s="5">
        <f t="shared" si="48"/>
        <v>1994</v>
      </c>
      <c r="K630" s="5">
        <f t="shared" si="49"/>
        <v>2024</v>
      </c>
      <c r="L630" s="5">
        <f>IF(Table1[[#This Row],[Total_System_Load]]&gt;80%*AVERAGE(Table1[Total_System_Load]),Table1[[#This Row],[Total_System_Load]]-Table1[[#This Row],[Total_Children_Under_Care]],0)</f>
        <v>0</v>
      </c>
      <c r="M630" s="5">
        <f t="shared" si="45"/>
        <v>-4</v>
      </c>
      <c r="N630" s="5">
        <f>M631-Table1[[#This Row],[Net_Daily_Intake]]</f>
        <v>-8</v>
      </c>
      <c r="O630" s="5">
        <f>M631-Table1[[#This Row],[Net_Daily_Intake]]/Table1[[#This Row],[Net_Daily_Intake]]</f>
        <v>-13</v>
      </c>
      <c r="P630" t="str">
        <f>IF(Table1[[#This Row],[Change_in_Net_Daily_Intake]]&gt;0,"Sustained Positive","Negative")</f>
        <v>Negative</v>
      </c>
      <c r="Q630" s="1">
        <f>(Table1[[#This Row],[Total_System_Load]]-Table1[[#This Row],[Total_Children_Under_Care]])/Table1[[#This Row],[Total_Children_Under_Care]]*100</f>
        <v>1.5045135406218655</v>
      </c>
      <c r="R630" s="1">
        <f>(Table1[[#This Row],[Children_discharged _from_HHS_ Care]]/Table1[[#This Row],[Children_transferred_out_of_CBP_custody]])</f>
        <v>1.5</v>
      </c>
    </row>
    <row r="631" spans="1:18" x14ac:dyDescent="0.3">
      <c r="A631">
        <v>630</v>
      </c>
      <c r="B631" s="7">
        <v>45880</v>
      </c>
      <c r="C631" s="5">
        <v>6</v>
      </c>
      <c r="D631" s="5">
        <v>23</v>
      </c>
      <c r="E631" s="5">
        <v>4</v>
      </c>
      <c r="F631" s="5">
        <v>1999</v>
      </c>
      <c r="G631" s="5">
        <v>16</v>
      </c>
      <c r="H631" t="str">
        <f t="shared" si="46"/>
        <v>Valid</v>
      </c>
      <c r="I631" t="str">
        <f t="shared" si="47"/>
        <v>Valid</v>
      </c>
      <c r="J631" s="5">
        <f t="shared" si="48"/>
        <v>1983</v>
      </c>
      <c r="K631" s="5">
        <f t="shared" si="49"/>
        <v>2022</v>
      </c>
      <c r="L631" s="5">
        <f>IF(Table1[[#This Row],[Total_System_Load]]&gt;80%*AVERAGE(Table1[Total_System_Load]),Table1[[#This Row],[Total_System_Load]]-Table1[[#This Row],[Total_Children_Under_Care]],0)</f>
        <v>0</v>
      </c>
      <c r="M631" s="5">
        <f t="shared" si="45"/>
        <v>-12</v>
      </c>
      <c r="N631" s="5">
        <f>M632-Table1[[#This Row],[Net_Daily_Intake]]</f>
        <v>12</v>
      </c>
      <c r="O631" s="5">
        <f>M632-Table1[[#This Row],[Net_Daily_Intake]]/Table1[[#This Row],[Net_Daily_Intake]]</f>
        <v>-1</v>
      </c>
      <c r="P631" t="str">
        <f>IF(Table1[[#This Row],[Change_in_Net_Daily_Intake]]&gt;0,"Sustained Positive","Negative")</f>
        <v>Sustained Positive</v>
      </c>
      <c r="Q631" s="1">
        <f>(Table1[[#This Row],[Total_System_Load]]-Table1[[#This Row],[Total_Children_Under_Care]])/Table1[[#This Row],[Total_Children_Under_Care]]*100</f>
        <v>1.9667170953101363</v>
      </c>
      <c r="R631" s="1">
        <f>(Table1[[#This Row],[Children_discharged _from_HHS_ Care]]/Table1[[#This Row],[Children_transferred_out_of_CBP_custody]])</f>
        <v>4</v>
      </c>
    </row>
    <row r="632" spans="1:18" x14ac:dyDescent="0.3">
      <c r="A632">
        <v>631</v>
      </c>
      <c r="B632" s="7">
        <v>45881</v>
      </c>
      <c r="C632" s="5">
        <v>8</v>
      </c>
      <c r="D632" s="5">
        <v>38</v>
      </c>
      <c r="E632" s="5">
        <v>9</v>
      </c>
      <c r="F632" s="5">
        <v>1999</v>
      </c>
      <c r="G632" s="5">
        <v>9</v>
      </c>
      <c r="H632" t="str">
        <f t="shared" si="46"/>
        <v>Valid</v>
      </c>
      <c r="I632" t="str">
        <f t="shared" si="47"/>
        <v>Valid</v>
      </c>
      <c r="J632" s="5">
        <f t="shared" si="48"/>
        <v>1990</v>
      </c>
      <c r="K632" s="5">
        <f t="shared" si="49"/>
        <v>2037</v>
      </c>
      <c r="L632" s="5">
        <f>IF(Table1[[#This Row],[Total_System_Load]]&gt;80%*AVERAGE(Table1[Total_System_Load]),Table1[[#This Row],[Total_System_Load]]-Table1[[#This Row],[Total_Children_Under_Care]],0)</f>
        <v>0</v>
      </c>
      <c r="M632" s="5">
        <f t="shared" si="45"/>
        <v>0</v>
      </c>
      <c r="N632" s="5">
        <f>M633-Table1[[#This Row],[Net_Daily_Intake]]</f>
        <v>-5</v>
      </c>
      <c r="O632" s="5">
        <v>0</v>
      </c>
      <c r="P632" t="str">
        <f>IF(Table1[[#This Row],[Change_in_Net_Daily_Intake]]&gt;0,"Sustained Positive","Negative")</f>
        <v>Negative</v>
      </c>
      <c r="Q632" s="1">
        <f>(Table1[[#This Row],[Total_System_Load]]-Table1[[#This Row],[Total_Children_Under_Care]])/Table1[[#This Row],[Total_Children_Under_Care]]*100</f>
        <v>2.3618090452261304</v>
      </c>
      <c r="R632" s="1">
        <f>(Table1[[#This Row],[Children_discharged _from_HHS_ Care]]/Table1[[#This Row],[Children_transferred_out_of_CBP_custody]])</f>
        <v>1</v>
      </c>
    </row>
    <row r="633" spans="1:18" x14ac:dyDescent="0.3">
      <c r="A633">
        <v>632</v>
      </c>
      <c r="B633" s="7">
        <v>45882</v>
      </c>
      <c r="C633" s="5">
        <v>6</v>
      </c>
      <c r="D633" s="5">
        <v>22</v>
      </c>
      <c r="E633" s="5">
        <v>12</v>
      </c>
      <c r="F633" s="5">
        <v>1997</v>
      </c>
      <c r="G633" s="5">
        <v>17</v>
      </c>
      <c r="H633" t="str">
        <f t="shared" si="46"/>
        <v>Valid</v>
      </c>
      <c r="I633" t="str">
        <f t="shared" si="47"/>
        <v>Valid</v>
      </c>
      <c r="J633" s="5">
        <f t="shared" si="48"/>
        <v>1980</v>
      </c>
      <c r="K633" s="5">
        <f t="shared" si="49"/>
        <v>2019</v>
      </c>
      <c r="L633" s="5">
        <f>IF(Table1[[#This Row],[Total_System_Load]]&gt;80%*AVERAGE(Table1[Total_System_Load]),Table1[[#This Row],[Total_System_Load]]-Table1[[#This Row],[Total_Children_Under_Care]],0)</f>
        <v>0</v>
      </c>
      <c r="M633" s="5">
        <f t="shared" si="45"/>
        <v>-5</v>
      </c>
      <c r="N633" s="5">
        <f>M634-Table1[[#This Row],[Net_Daily_Intake]]</f>
        <v>-2</v>
      </c>
      <c r="O633" s="5">
        <f>M634-Table1[[#This Row],[Net_Daily_Intake]]/Table1[[#This Row],[Net_Daily_Intake]]</f>
        <v>-8</v>
      </c>
      <c r="P633" t="str">
        <f>IF(Table1[[#This Row],[Change_in_Net_Daily_Intake]]&gt;0,"Sustained Positive","Negative")</f>
        <v>Negative</v>
      </c>
      <c r="Q633" s="1">
        <f>(Table1[[#This Row],[Total_System_Load]]-Table1[[#This Row],[Total_Children_Under_Care]])/Table1[[#This Row],[Total_Children_Under_Care]]*100</f>
        <v>1.9696969696969695</v>
      </c>
      <c r="R633" s="1">
        <f>(Table1[[#This Row],[Children_discharged _from_HHS_ Care]]/Table1[[#This Row],[Children_transferred_out_of_CBP_custody]])</f>
        <v>1.4166666666666667</v>
      </c>
    </row>
    <row r="634" spans="1:18" x14ac:dyDescent="0.3">
      <c r="A634">
        <v>633</v>
      </c>
      <c r="B634" s="7">
        <v>45883</v>
      </c>
      <c r="C634" s="5">
        <v>3</v>
      </c>
      <c r="D634" s="5">
        <v>27</v>
      </c>
      <c r="E634" s="5">
        <v>4</v>
      </c>
      <c r="F634" s="5">
        <v>1994</v>
      </c>
      <c r="G634" s="5">
        <v>11</v>
      </c>
      <c r="H634" t="str">
        <f t="shared" si="46"/>
        <v>Valid</v>
      </c>
      <c r="I634" t="str">
        <f t="shared" si="47"/>
        <v>Valid</v>
      </c>
      <c r="J634" s="5">
        <f t="shared" si="48"/>
        <v>1983</v>
      </c>
      <c r="K634" s="5">
        <f t="shared" si="49"/>
        <v>2021</v>
      </c>
      <c r="L634" s="5">
        <f>IF(Table1[[#This Row],[Total_System_Load]]&gt;80%*AVERAGE(Table1[Total_System_Load]),Table1[[#This Row],[Total_System_Load]]-Table1[[#This Row],[Total_Children_Under_Care]],0)</f>
        <v>0</v>
      </c>
      <c r="M634" s="5">
        <f t="shared" si="45"/>
        <v>-7</v>
      </c>
      <c r="N634" s="5">
        <f>M635-Table1[[#This Row],[Net_Daily_Intake]]</f>
        <v>6</v>
      </c>
      <c r="O634" s="5">
        <f>M635-Table1[[#This Row],[Net_Daily_Intake]]/Table1[[#This Row],[Net_Daily_Intake]]</f>
        <v>-2</v>
      </c>
      <c r="P634" t="str">
        <f>IF(Table1[[#This Row],[Change_in_Net_Daily_Intake]]&gt;0,"Sustained Positive","Negative")</f>
        <v>Sustained Positive</v>
      </c>
      <c r="Q634" s="1">
        <f>(Table1[[#This Row],[Total_System_Load]]-Table1[[#This Row],[Total_Children_Under_Care]])/Table1[[#This Row],[Total_Children_Under_Care]]*100</f>
        <v>1.9162884518406456</v>
      </c>
      <c r="R634" s="1">
        <f>(Table1[[#This Row],[Children_discharged _from_HHS_ Care]]/Table1[[#This Row],[Children_transferred_out_of_CBP_custody]])</f>
        <v>2.75</v>
      </c>
    </row>
    <row r="635" spans="1:18" x14ac:dyDescent="0.3">
      <c r="A635">
        <v>634</v>
      </c>
      <c r="B635" s="7">
        <v>45886</v>
      </c>
      <c r="C635" s="5">
        <v>4</v>
      </c>
      <c r="D635" s="5">
        <v>14</v>
      </c>
      <c r="E635" s="5">
        <v>2</v>
      </c>
      <c r="F635" s="5">
        <v>1991</v>
      </c>
      <c r="G635" s="5">
        <v>3</v>
      </c>
      <c r="H635" t="str">
        <f t="shared" si="46"/>
        <v>Valid</v>
      </c>
      <c r="I635" t="str">
        <f t="shared" si="47"/>
        <v>Valid</v>
      </c>
      <c r="J635" s="5">
        <f t="shared" si="48"/>
        <v>1988</v>
      </c>
      <c r="K635" s="5">
        <f t="shared" si="49"/>
        <v>2005</v>
      </c>
      <c r="L635" s="5">
        <f>IF(Table1[[#This Row],[Total_System_Load]]&gt;80%*AVERAGE(Table1[Total_System_Load]),Table1[[#This Row],[Total_System_Load]]-Table1[[#This Row],[Total_Children_Under_Care]],0)</f>
        <v>0</v>
      </c>
      <c r="M635" s="5">
        <f t="shared" si="45"/>
        <v>-1</v>
      </c>
      <c r="N635" s="5">
        <f>M636-Table1[[#This Row],[Net_Daily_Intake]]</f>
        <v>-7</v>
      </c>
      <c r="O635" s="5">
        <f>M636-Table1[[#This Row],[Net_Daily_Intake]]/Table1[[#This Row],[Net_Daily_Intake]]</f>
        <v>-9</v>
      </c>
      <c r="P635" t="str">
        <f>IF(Table1[[#This Row],[Change_in_Net_Daily_Intake]]&gt;0,"Sustained Positive","Negative")</f>
        <v>Negative</v>
      </c>
      <c r="Q635" s="1">
        <f>(Table1[[#This Row],[Total_System_Load]]-Table1[[#This Row],[Total_Children_Under_Care]])/Table1[[#This Row],[Total_Children_Under_Care]]*100</f>
        <v>0.85513078470824955</v>
      </c>
      <c r="R635" s="1">
        <f>(Table1[[#This Row],[Children_discharged _from_HHS_ Care]]/Table1[[#This Row],[Children_transferred_out_of_CBP_custody]])</f>
        <v>1.5</v>
      </c>
    </row>
    <row r="636" spans="1:18" x14ac:dyDescent="0.3">
      <c r="A636">
        <v>635</v>
      </c>
      <c r="B636" s="7">
        <v>45887</v>
      </c>
      <c r="C636" s="5">
        <v>4</v>
      </c>
      <c r="D636" s="5">
        <v>20</v>
      </c>
      <c r="E636" s="5">
        <v>6</v>
      </c>
      <c r="F636" s="5">
        <v>1985</v>
      </c>
      <c r="G636" s="5">
        <v>14</v>
      </c>
      <c r="H636" t="str">
        <f t="shared" si="46"/>
        <v>Valid</v>
      </c>
      <c r="I636" t="str">
        <f t="shared" si="47"/>
        <v>Valid</v>
      </c>
      <c r="J636" s="5">
        <f t="shared" si="48"/>
        <v>1971</v>
      </c>
      <c r="K636" s="5">
        <f t="shared" si="49"/>
        <v>2005</v>
      </c>
      <c r="L636" s="5">
        <f>IF(Table1[[#This Row],[Total_System_Load]]&gt;80%*AVERAGE(Table1[Total_System_Load]),Table1[[#This Row],[Total_System_Load]]-Table1[[#This Row],[Total_Children_Under_Care]],0)</f>
        <v>0</v>
      </c>
      <c r="M636" s="5">
        <f t="shared" si="45"/>
        <v>-8</v>
      </c>
      <c r="N636" s="5">
        <f>M637-Table1[[#This Row],[Net_Daily_Intake]]</f>
        <v>0</v>
      </c>
      <c r="O636" s="5">
        <f>M637-Table1[[#This Row],[Net_Daily_Intake]]/Table1[[#This Row],[Net_Daily_Intake]]</f>
        <v>-9</v>
      </c>
      <c r="P636" t="str">
        <f>IF(Table1[[#This Row],[Change_in_Net_Daily_Intake]]&gt;0,"Sustained Positive","Negative")</f>
        <v>Negative</v>
      </c>
      <c r="Q636" s="1">
        <f>(Table1[[#This Row],[Total_System_Load]]-Table1[[#This Row],[Total_Children_Under_Care]])/Table1[[#This Row],[Total_Children_Under_Care]]*100</f>
        <v>1.7250126839167934</v>
      </c>
      <c r="R636" s="1">
        <f>(Table1[[#This Row],[Children_discharged _from_HHS_ Care]]/Table1[[#This Row],[Children_transferred_out_of_CBP_custody]])</f>
        <v>2.3333333333333335</v>
      </c>
    </row>
    <row r="637" spans="1:18" x14ac:dyDescent="0.3">
      <c r="A637">
        <v>636</v>
      </c>
      <c r="B637" s="7">
        <v>45888</v>
      </c>
      <c r="C637" s="5">
        <v>5</v>
      </c>
      <c r="D637" s="5">
        <v>35</v>
      </c>
      <c r="E637" s="5">
        <v>3</v>
      </c>
      <c r="F637" s="5">
        <v>1980</v>
      </c>
      <c r="G637" s="5">
        <v>11</v>
      </c>
      <c r="H637" t="str">
        <f t="shared" si="46"/>
        <v>Valid</v>
      </c>
      <c r="I637" t="str">
        <f t="shared" si="47"/>
        <v>Valid</v>
      </c>
      <c r="J637" s="5">
        <f t="shared" si="48"/>
        <v>1969</v>
      </c>
      <c r="K637" s="5">
        <f t="shared" si="49"/>
        <v>2015</v>
      </c>
      <c r="L637" s="5">
        <f>IF(Table1[[#This Row],[Total_System_Load]]&gt;80%*AVERAGE(Table1[Total_System_Load]),Table1[[#This Row],[Total_System_Load]]-Table1[[#This Row],[Total_Children_Under_Care]],0)</f>
        <v>0</v>
      </c>
      <c r="M637" s="5">
        <f t="shared" si="45"/>
        <v>-8</v>
      </c>
      <c r="N637" s="5">
        <f>M638-Table1[[#This Row],[Net_Daily_Intake]]</f>
        <v>8</v>
      </c>
      <c r="O637" s="5">
        <f>M638-Table1[[#This Row],[Net_Daily_Intake]]/Table1[[#This Row],[Net_Daily_Intake]]</f>
        <v>-1</v>
      </c>
      <c r="P637" t="str">
        <f>IF(Table1[[#This Row],[Change_in_Net_Daily_Intake]]&gt;0,"Sustained Positive","Negative")</f>
        <v>Sustained Positive</v>
      </c>
      <c r="Q637" s="1">
        <f>(Table1[[#This Row],[Total_System_Load]]-Table1[[#This Row],[Total_Children_Under_Care]])/Table1[[#This Row],[Total_Children_Under_Care]]*100</f>
        <v>2.3362112747587607</v>
      </c>
      <c r="R637" s="1">
        <f>(Table1[[#This Row],[Children_discharged _from_HHS_ Care]]/Table1[[#This Row],[Children_transferred_out_of_CBP_custody]])</f>
        <v>3.6666666666666665</v>
      </c>
    </row>
    <row r="638" spans="1:18" x14ac:dyDescent="0.3">
      <c r="A638">
        <v>637</v>
      </c>
      <c r="B638" s="7">
        <v>45889</v>
      </c>
      <c r="C638" s="5">
        <v>10</v>
      </c>
      <c r="D638" s="5">
        <v>38</v>
      </c>
      <c r="E638" s="5">
        <v>10</v>
      </c>
      <c r="F638" s="5">
        <v>1983</v>
      </c>
      <c r="G638" s="5">
        <v>10</v>
      </c>
      <c r="H638" t="str">
        <f t="shared" si="46"/>
        <v>Valid</v>
      </c>
      <c r="I638" t="str">
        <f t="shared" si="47"/>
        <v>Valid</v>
      </c>
      <c r="J638" s="5">
        <f t="shared" si="48"/>
        <v>1973</v>
      </c>
      <c r="K638" s="5">
        <f t="shared" si="49"/>
        <v>2021</v>
      </c>
      <c r="L638" s="5">
        <f>IF(Table1[[#This Row],[Total_System_Load]]&gt;80%*AVERAGE(Table1[Total_System_Load]),Table1[[#This Row],[Total_System_Load]]-Table1[[#This Row],[Total_Children_Under_Care]],0)</f>
        <v>0</v>
      </c>
      <c r="M638" s="5">
        <f t="shared" si="45"/>
        <v>0</v>
      </c>
      <c r="N638" s="5">
        <f>M639-Table1[[#This Row],[Net_Daily_Intake]]</f>
        <v>-13</v>
      </c>
      <c r="O638" s="5">
        <v>0</v>
      </c>
      <c r="P638" t="str">
        <f>IF(Table1[[#This Row],[Change_in_Net_Daily_Intake]]&gt;0,"Sustained Positive","Negative")</f>
        <v>Negative</v>
      </c>
      <c r="Q638" s="1">
        <f>(Table1[[#This Row],[Total_System_Load]]-Table1[[#This Row],[Total_Children_Under_Care]])/Table1[[#This Row],[Total_Children_Under_Care]]*100</f>
        <v>2.4328433857070451</v>
      </c>
      <c r="R638" s="1">
        <f>(Table1[[#This Row],[Children_discharged _from_HHS_ Care]]/Table1[[#This Row],[Children_transferred_out_of_CBP_custody]])</f>
        <v>1</v>
      </c>
    </row>
    <row r="639" spans="1:18" x14ac:dyDescent="0.3">
      <c r="A639">
        <v>638</v>
      </c>
      <c r="B639" s="7">
        <v>45890</v>
      </c>
      <c r="C639" s="5">
        <v>6</v>
      </c>
      <c r="D639" s="5">
        <v>49</v>
      </c>
      <c r="E639" s="5">
        <v>8</v>
      </c>
      <c r="F639" s="5">
        <v>1972</v>
      </c>
      <c r="G639" s="5">
        <v>21</v>
      </c>
      <c r="H639" t="str">
        <f t="shared" si="46"/>
        <v>Valid</v>
      </c>
      <c r="I639" t="str">
        <f t="shared" si="47"/>
        <v>Valid</v>
      </c>
      <c r="J639" s="5">
        <f t="shared" si="48"/>
        <v>1951</v>
      </c>
      <c r="K639" s="5">
        <f t="shared" si="49"/>
        <v>2021</v>
      </c>
      <c r="L639" s="5">
        <f>IF(Table1[[#This Row],[Total_System_Load]]&gt;80%*AVERAGE(Table1[Total_System_Load]),Table1[[#This Row],[Total_System_Load]]-Table1[[#This Row],[Total_Children_Under_Care]],0)</f>
        <v>0</v>
      </c>
      <c r="M639" s="5">
        <f t="shared" si="45"/>
        <v>-13</v>
      </c>
      <c r="N639" s="5">
        <f>M640-Table1[[#This Row],[Net_Daily_Intake]]</f>
        <v>13</v>
      </c>
      <c r="O639" s="5">
        <f>M640-Table1[[#This Row],[Net_Daily_Intake]]/Table1[[#This Row],[Net_Daily_Intake]]</f>
        <v>-1</v>
      </c>
      <c r="P639" t="str">
        <f>IF(Table1[[#This Row],[Change_in_Net_Daily_Intake]]&gt;0,"Sustained Positive","Negative")</f>
        <v>Sustained Positive</v>
      </c>
      <c r="Q639" s="1">
        <f>(Table1[[#This Row],[Total_System_Load]]-Table1[[#This Row],[Total_Children_Under_Care]])/Table1[[#This Row],[Total_Children_Under_Care]]*100</f>
        <v>3.5879036391594052</v>
      </c>
      <c r="R639" s="1">
        <f>(Table1[[#This Row],[Children_discharged _from_HHS_ Care]]/Table1[[#This Row],[Children_transferred_out_of_CBP_custody]])</f>
        <v>2.625</v>
      </c>
    </row>
    <row r="640" spans="1:18" x14ac:dyDescent="0.3">
      <c r="A640">
        <v>639</v>
      </c>
      <c r="B640" s="7">
        <v>45893</v>
      </c>
      <c r="C640" s="5">
        <v>4</v>
      </c>
      <c r="D640" s="5">
        <v>21</v>
      </c>
      <c r="E640" s="5">
        <v>5</v>
      </c>
      <c r="F640" s="5">
        <v>1981</v>
      </c>
      <c r="G640" s="5">
        <v>5</v>
      </c>
      <c r="H640" t="str">
        <f t="shared" si="46"/>
        <v>Valid</v>
      </c>
      <c r="I640" t="str">
        <f t="shared" si="47"/>
        <v>Valid</v>
      </c>
      <c r="J640" s="5">
        <f t="shared" si="48"/>
        <v>1976</v>
      </c>
      <c r="K640" s="5">
        <f t="shared" si="49"/>
        <v>2002</v>
      </c>
      <c r="L640" s="5">
        <f>IF(Table1[[#This Row],[Total_System_Load]]&gt;80%*AVERAGE(Table1[Total_System_Load]),Table1[[#This Row],[Total_System_Load]]-Table1[[#This Row],[Total_Children_Under_Care]],0)</f>
        <v>0</v>
      </c>
      <c r="M640" s="5">
        <f t="shared" si="45"/>
        <v>0</v>
      </c>
      <c r="N640" s="5">
        <f>M641-Table1[[#This Row],[Net_Daily_Intake]]</f>
        <v>-3</v>
      </c>
      <c r="O640" s="5">
        <v>0</v>
      </c>
      <c r="P640" t="str">
        <f>IF(Table1[[#This Row],[Change_in_Net_Daily_Intake]]&gt;0,"Sustained Positive","Negative")</f>
        <v>Negative</v>
      </c>
      <c r="Q640" s="1">
        <f>(Table1[[#This Row],[Total_System_Load]]-Table1[[#This Row],[Total_Children_Under_Care]])/Table1[[#This Row],[Total_Children_Under_Care]]*100</f>
        <v>1.3157894736842104</v>
      </c>
      <c r="R640" s="1">
        <f>(Table1[[#This Row],[Children_discharged _from_HHS_ Care]]/Table1[[#This Row],[Children_transferred_out_of_CBP_custody]])</f>
        <v>1</v>
      </c>
    </row>
    <row r="641" spans="1:18" x14ac:dyDescent="0.3">
      <c r="A641">
        <v>640</v>
      </c>
      <c r="B641" s="7">
        <v>45894</v>
      </c>
      <c r="C641" s="5">
        <v>8</v>
      </c>
      <c r="D641" s="5">
        <v>30</v>
      </c>
      <c r="E641" s="5">
        <v>8</v>
      </c>
      <c r="F641" s="5">
        <v>1980</v>
      </c>
      <c r="G641" s="5">
        <v>11</v>
      </c>
      <c r="H641" t="str">
        <f t="shared" si="46"/>
        <v>Valid</v>
      </c>
      <c r="I641" t="str">
        <f t="shared" si="47"/>
        <v>Valid</v>
      </c>
      <c r="J641" s="5">
        <f t="shared" si="48"/>
        <v>1969</v>
      </c>
      <c r="K641" s="5">
        <f t="shared" si="49"/>
        <v>2010</v>
      </c>
      <c r="L641" s="5">
        <f>IF(Table1[[#This Row],[Total_System_Load]]&gt;80%*AVERAGE(Table1[Total_System_Load]),Table1[[#This Row],[Total_System_Load]]-Table1[[#This Row],[Total_Children_Under_Care]],0)</f>
        <v>0</v>
      </c>
      <c r="M641" s="5">
        <f t="shared" si="45"/>
        <v>-3</v>
      </c>
      <c r="N641" s="5">
        <f>M642-Table1[[#This Row],[Net_Daily_Intake]]</f>
        <v>8</v>
      </c>
      <c r="O641" s="5">
        <f>M642-Table1[[#This Row],[Net_Daily_Intake]]/Table1[[#This Row],[Net_Daily_Intake]]</f>
        <v>4</v>
      </c>
      <c r="P641" t="str">
        <f>IF(Table1[[#This Row],[Change_in_Net_Daily_Intake]]&gt;0,"Sustained Positive","Negative")</f>
        <v>Sustained Positive</v>
      </c>
      <c r="Q641" s="1">
        <f>(Table1[[#This Row],[Total_System_Load]]-Table1[[#This Row],[Total_Children_Under_Care]])/Table1[[#This Row],[Total_Children_Under_Care]]*100</f>
        <v>2.0822752666328088</v>
      </c>
      <c r="R641" s="1">
        <f>(Table1[[#This Row],[Children_discharged _from_HHS_ Care]]/Table1[[#This Row],[Children_transferred_out_of_CBP_custody]])</f>
        <v>1.375</v>
      </c>
    </row>
    <row r="642" spans="1:18" x14ac:dyDescent="0.3">
      <c r="A642">
        <v>641</v>
      </c>
      <c r="B642" s="7">
        <v>45895</v>
      </c>
      <c r="C642" s="5">
        <v>10</v>
      </c>
      <c r="D642" s="5">
        <v>21</v>
      </c>
      <c r="E642" s="5">
        <v>20</v>
      </c>
      <c r="F642" s="5">
        <v>1989</v>
      </c>
      <c r="G642" s="5">
        <v>15</v>
      </c>
      <c r="H642" t="str">
        <f t="shared" si="46"/>
        <v>Valid</v>
      </c>
      <c r="I642" t="str">
        <f t="shared" si="47"/>
        <v>Valid</v>
      </c>
      <c r="J642" s="5">
        <f t="shared" si="48"/>
        <v>1974</v>
      </c>
      <c r="K642" s="5">
        <f t="shared" si="49"/>
        <v>2010</v>
      </c>
      <c r="L642" s="5">
        <f>IF(Table1[[#This Row],[Total_System_Load]]&gt;80%*AVERAGE(Table1[Total_System_Load]),Table1[[#This Row],[Total_System_Load]]-Table1[[#This Row],[Total_Children_Under_Care]],0)</f>
        <v>0</v>
      </c>
      <c r="M642" s="5">
        <f t="shared" ref="M642:M705" si="50">E642-G642</f>
        <v>5</v>
      </c>
      <c r="N642" s="5">
        <f>M643-Table1[[#This Row],[Net_Daily_Intake]]</f>
        <v>-15</v>
      </c>
      <c r="O642" s="5">
        <f>M643-Table1[[#This Row],[Net_Daily_Intake]]/Table1[[#This Row],[Net_Daily_Intake]]</f>
        <v>-11</v>
      </c>
      <c r="P642" t="str">
        <f>IF(Table1[[#This Row],[Change_in_Net_Daily_Intake]]&gt;0,"Sustained Positive","Negative")</f>
        <v>Negative</v>
      </c>
      <c r="Q642" s="1">
        <f>(Table1[[#This Row],[Total_System_Load]]-Table1[[#This Row],[Total_Children_Under_Care]])/Table1[[#This Row],[Total_Children_Under_Care]]*100</f>
        <v>1.8237082066869299</v>
      </c>
      <c r="R642" s="1">
        <f>(Table1[[#This Row],[Children_discharged _from_HHS_ Care]]/Table1[[#This Row],[Children_transferred_out_of_CBP_custody]])</f>
        <v>0.75</v>
      </c>
    </row>
    <row r="643" spans="1:18" x14ac:dyDescent="0.3">
      <c r="A643">
        <v>642</v>
      </c>
      <c r="B643" s="7">
        <v>45896</v>
      </c>
      <c r="C643" s="5">
        <v>5</v>
      </c>
      <c r="D643" s="5">
        <v>19</v>
      </c>
      <c r="E643" s="5">
        <v>9</v>
      </c>
      <c r="F643" s="5">
        <v>1988</v>
      </c>
      <c r="G643" s="5">
        <v>19</v>
      </c>
      <c r="H643" t="str">
        <f t="shared" ref="H643:H706" si="51">IF(E643&lt;=D643,"Valid","Invalid")</f>
        <v>Valid</v>
      </c>
      <c r="I643" t="str">
        <f t="shared" ref="I643:I706" si="52">IF(G643&lt;=F643,"Valid","Invalid")</f>
        <v>Valid</v>
      </c>
      <c r="J643" s="5">
        <f t="shared" ref="J643:J706" si="53">F643-G643</f>
        <v>1969</v>
      </c>
      <c r="K643" s="5">
        <f t="shared" ref="K643:K706" si="54">D643+F643</f>
        <v>2007</v>
      </c>
      <c r="L643" s="5">
        <f>IF(Table1[[#This Row],[Total_System_Load]]&gt;80%*AVERAGE(Table1[Total_System_Load]),Table1[[#This Row],[Total_System_Load]]-Table1[[#This Row],[Total_Children_Under_Care]],0)</f>
        <v>0</v>
      </c>
      <c r="M643" s="5">
        <f t="shared" si="50"/>
        <v>-10</v>
      </c>
      <c r="N643" s="5">
        <f>M644-Table1[[#This Row],[Net_Daily_Intake]]</f>
        <v>-1</v>
      </c>
      <c r="O643" s="5">
        <f>M644-Table1[[#This Row],[Net_Daily_Intake]]/Table1[[#This Row],[Net_Daily_Intake]]</f>
        <v>-12</v>
      </c>
      <c r="P643" t="str">
        <f>IF(Table1[[#This Row],[Change_in_Net_Daily_Intake]]&gt;0,"Sustained Positive","Negative")</f>
        <v>Negative</v>
      </c>
      <c r="Q643" s="1">
        <f>(Table1[[#This Row],[Total_System_Load]]-Table1[[#This Row],[Total_Children_Under_Care]])/Table1[[#This Row],[Total_Children_Under_Care]]*100</f>
        <v>1.9299136617572372</v>
      </c>
      <c r="R643" s="1">
        <f>(Table1[[#This Row],[Children_discharged _from_HHS_ Care]]/Table1[[#This Row],[Children_transferred_out_of_CBP_custody]])</f>
        <v>2.1111111111111112</v>
      </c>
    </row>
    <row r="644" spans="1:18" x14ac:dyDescent="0.3">
      <c r="A644">
        <v>643</v>
      </c>
      <c r="B644" s="7">
        <v>45897</v>
      </c>
      <c r="C644" s="5">
        <v>8</v>
      </c>
      <c r="D644" s="5">
        <v>33</v>
      </c>
      <c r="E644" s="5">
        <v>6</v>
      </c>
      <c r="F644" s="5">
        <v>1984</v>
      </c>
      <c r="G644" s="5">
        <v>17</v>
      </c>
      <c r="H644" t="str">
        <f t="shared" si="51"/>
        <v>Valid</v>
      </c>
      <c r="I644" t="str">
        <f t="shared" si="52"/>
        <v>Valid</v>
      </c>
      <c r="J644" s="5">
        <f t="shared" si="53"/>
        <v>1967</v>
      </c>
      <c r="K644" s="5">
        <f t="shared" si="54"/>
        <v>2017</v>
      </c>
      <c r="L644" s="5">
        <f>IF(Table1[[#This Row],[Total_System_Load]]&gt;80%*AVERAGE(Table1[Total_System_Load]),Table1[[#This Row],[Total_System_Load]]-Table1[[#This Row],[Total_Children_Under_Care]],0)</f>
        <v>0</v>
      </c>
      <c r="M644" s="5">
        <f t="shared" si="50"/>
        <v>-11</v>
      </c>
      <c r="N644" s="5">
        <f>M645-Table1[[#This Row],[Net_Daily_Intake]]</f>
        <v>23</v>
      </c>
      <c r="O644" s="5">
        <f>M645-Table1[[#This Row],[Net_Daily_Intake]]/Table1[[#This Row],[Net_Daily_Intake]]</f>
        <v>11</v>
      </c>
      <c r="P644" t="str">
        <f>IF(Table1[[#This Row],[Change_in_Net_Daily_Intake]]&gt;0,"Sustained Positive","Negative")</f>
        <v>Sustained Positive</v>
      </c>
      <c r="Q644" s="1">
        <f>(Table1[[#This Row],[Total_System_Load]]-Table1[[#This Row],[Total_Children_Under_Care]])/Table1[[#This Row],[Total_Children_Under_Care]]*100</f>
        <v>2.5419420437214031</v>
      </c>
      <c r="R644" s="1">
        <f>(Table1[[#This Row],[Children_discharged _from_HHS_ Care]]/Table1[[#This Row],[Children_transferred_out_of_CBP_custody]])</f>
        <v>2.8333333333333335</v>
      </c>
    </row>
    <row r="645" spans="1:18" x14ac:dyDescent="0.3">
      <c r="A645">
        <v>644</v>
      </c>
      <c r="B645" s="7">
        <v>45901</v>
      </c>
      <c r="C645" s="5">
        <v>10</v>
      </c>
      <c r="D645" s="5">
        <v>29</v>
      </c>
      <c r="E645" s="5">
        <v>17</v>
      </c>
      <c r="F645" s="5">
        <v>2010</v>
      </c>
      <c r="G645" s="5">
        <v>5</v>
      </c>
      <c r="H645" t="str">
        <f t="shared" si="51"/>
        <v>Valid</v>
      </c>
      <c r="I645" t="str">
        <f t="shared" si="52"/>
        <v>Valid</v>
      </c>
      <c r="J645" s="5">
        <f t="shared" si="53"/>
        <v>2005</v>
      </c>
      <c r="K645" s="5">
        <f t="shared" si="54"/>
        <v>2039</v>
      </c>
      <c r="L645" s="5">
        <f>IF(Table1[[#This Row],[Total_System_Load]]&gt;80%*AVERAGE(Table1[Total_System_Load]),Table1[[#This Row],[Total_System_Load]]-Table1[[#This Row],[Total_Children_Under_Care]],0)</f>
        <v>0</v>
      </c>
      <c r="M645" s="5">
        <f t="shared" si="50"/>
        <v>12</v>
      </c>
      <c r="N645" s="5">
        <f>M646-Table1[[#This Row],[Net_Daily_Intake]]</f>
        <v>-12</v>
      </c>
      <c r="O645" s="5">
        <f>M646-Table1[[#This Row],[Net_Daily_Intake]]/Table1[[#This Row],[Net_Daily_Intake]]</f>
        <v>-1</v>
      </c>
      <c r="P645" t="str">
        <f>IF(Table1[[#This Row],[Change_in_Net_Daily_Intake]]&gt;0,"Sustained Positive","Negative")</f>
        <v>Negative</v>
      </c>
      <c r="Q645" s="1">
        <f>(Table1[[#This Row],[Total_System_Load]]-Table1[[#This Row],[Total_Children_Under_Care]])/Table1[[#This Row],[Total_Children_Under_Care]]*100</f>
        <v>1.6957605985037407</v>
      </c>
      <c r="R645" s="1">
        <f>(Table1[[#This Row],[Children_discharged _from_HHS_ Care]]/Table1[[#This Row],[Children_transferred_out_of_CBP_custody]])</f>
        <v>0.29411764705882354</v>
      </c>
    </row>
    <row r="646" spans="1:18" x14ac:dyDescent="0.3">
      <c r="A646">
        <v>645</v>
      </c>
      <c r="B646" s="7">
        <v>45902</v>
      </c>
      <c r="C646" s="5">
        <v>6</v>
      </c>
      <c r="D646" s="5">
        <v>35</v>
      </c>
      <c r="E646" s="5">
        <v>9</v>
      </c>
      <c r="F646" s="5">
        <v>2020</v>
      </c>
      <c r="G646" s="5">
        <v>9</v>
      </c>
      <c r="H646" t="str">
        <f t="shared" si="51"/>
        <v>Valid</v>
      </c>
      <c r="I646" t="str">
        <f t="shared" si="52"/>
        <v>Valid</v>
      </c>
      <c r="J646" s="5">
        <f t="shared" si="53"/>
        <v>2011</v>
      </c>
      <c r="K646" s="5">
        <f t="shared" si="54"/>
        <v>2055</v>
      </c>
      <c r="L646" s="5">
        <f>IF(Table1[[#This Row],[Total_System_Load]]&gt;80%*AVERAGE(Table1[Total_System_Load]),Table1[[#This Row],[Total_System_Load]]-Table1[[#This Row],[Total_Children_Under_Care]],0)</f>
        <v>0</v>
      </c>
      <c r="M646" s="5">
        <f t="shared" si="50"/>
        <v>0</v>
      </c>
      <c r="N646" s="5">
        <f>M647-Table1[[#This Row],[Net_Daily_Intake]]</f>
        <v>1</v>
      </c>
      <c r="O646" s="5">
        <v>0</v>
      </c>
      <c r="P646" t="str">
        <f>IF(Table1[[#This Row],[Change_in_Net_Daily_Intake]]&gt;0,"Sustained Positive","Negative")</f>
        <v>Sustained Positive</v>
      </c>
      <c r="Q646" s="1">
        <f>(Table1[[#This Row],[Total_System_Load]]-Table1[[#This Row],[Total_Children_Under_Care]])/Table1[[#This Row],[Total_Children_Under_Care]]*100</f>
        <v>2.187966185977126</v>
      </c>
      <c r="R646" s="1">
        <f>(Table1[[#This Row],[Children_discharged _from_HHS_ Care]]/Table1[[#This Row],[Children_transferred_out_of_CBP_custody]])</f>
        <v>1</v>
      </c>
    </row>
    <row r="647" spans="1:18" x14ac:dyDescent="0.3">
      <c r="A647">
        <v>646</v>
      </c>
      <c r="B647" s="7">
        <v>45903</v>
      </c>
      <c r="C647" s="5">
        <v>4</v>
      </c>
      <c r="D647" s="5">
        <v>29</v>
      </c>
      <c r="E647" s="5">
        <v>11</v>
      </c>
      <c r="F647" s="5">
        <v>2019</v>
      </c>
      <c r="G647" s="5">
        <v>10</v>
      </c>
      <c r="H647" t="str">
        <f t="shared" si="51"/>
        <v>Valid</v>
      </c>
      <c r="I647" t="str">
        <f t="shared" si="52"/>
        <v>Valid</v>
      </c>
      <c r="J647" s="5">
        <f t="shared" si="53"/>
        <v>2009</v>
      </c>
      <c r="K647" s="5">
        <f t="shared" si="54"/>
        <v>2048</v>
      </c>
      <c r="L647" s="5">
        <f>IF(Table1[[#This Row],[Total_System_Load]]&gt;80%*AVERAGE(Table1[Total_System_Load]),Table1[[#This Row],[Total_System_Load]]-Table1[[#This Row],[Total_Children_Under_Care]],0)</f>
        <v>0</v>
      </c>
      <c r="M647" s="5">
        <f t="shared" si="50"/>
        <v>1</v>
      </c>
      <c r="N647" s="5">
        <f>M648-Table1[[#This Row],[Net_Daily_Intake]]</f>
        <v>-13</v>
      </c>
      <c r="O647" s="5">
        <f>M648-Table1[[#This Row],[Net_Daily_Intake]]/Table1[[#This Row],[Net_Daily_Intake]]</f>
        <v>-13</v>
      </c>
      <c r="P647" t="str">
        <f>IF(Table1[[#This Row],[Change_in_Net_Daily_Intake]]&gt;0,"Sustained Positive","Negative")</f>
        <v>Negative</v>
      </c>
      <c r="Q647" s="1">
        <f>(Table1[[#This Row],[Total_System_Load]]-Table1[[#This Row],[Total_Children_Under_Care]])/Table1[[#This Row],[Total_Children_Under_Care]]*100</f>
        <v>1.9412643106022895</v>
      </c>
      <c r="R647" s="1">
        <f>(Table1[[#This Row],[Children_discharged _from_HHS_ Care]]/Table1[[#This Row],[Children_transferred_out_of_CBP_custody]])</f>
        <v>0.90909090909090906</v>
      </c>
    </row>
    <row r="648" spans="1:18" x14ac:dyDescent="0.3">
      <c r="A648">
        <v>647</v>
      </c>
      <c r="B648" s="7">
        <v>45904</v>
      </c>
      <c r="C648" s="5">
        <v>11</v>
      </c>
      <c r="D648" s="5">
        <v>40</v>
      </c>
      <c r="E648" s="5">
        <v>2</v>
      </c>
      <c r="F648" s="5">
        <v>2015</v>
      </c>
      <c r="G648" s="5">
        <v>14</v>
      </c>
      <c r="H648" t="str">
        <f t="shared" si="51"/>
        <v>Valid</v>
      </c>
      <c r="I648" t="str">
        <f t="shared" si="52"/>
        <v>Valid</v>
      </c>
      <c r="J648" s="5">
        <f t="shared" si="53"/>
        <v>2001</v>
      </c>
      <c r="K648" s="5">
        <f t="shared" si="54"/>
        <v>2055</v>
      </c>
      <c r="L648" s="5">
        <f>IF(Table1[[#This Row],[Total_System_Load]]&gt;80%*AVERAGE(Table1[Total_System_Load]),Table1[[#This Row],[Total_System_Load]]-Table1[[#This Row],[Total_Children_Under_Care]],0)</f>
        <v>0</v>
      </c>
      <c r="M648" s="5">
        <f t="shared" si="50"/>
        <v>-12</v>
      </c>
      <c r="N648" s="5">
        <f>M649-Table1[[#This Row],[Net_Daily_Intake]]</f>
        <v>14</v>
      </c>
      <c r="O648" s="5">
        <f>M649-Table1[[#This Row],[Net_Daily_Intake]]/Table1[[#This Row],[Net_Daily_Intake]]</f>
        <v>1</v>
      </c>
      <c r="P648" t="str">
        <f>IF(Table1[[#This Row],[Change_in_Net_Daily_Intake]]&gt;0,"Sustained Positive","Negative")</f>
        <v>Sustained Positive</v>
      </c>
      <c r="Q648" s="1">
        <f>(Table1[[#This Row],[Total_System_Load]]-Table1[[#This Row],[Total_Children_Under_Care]])/Table1[[#This Row],[Total_Children_Under_Care]]*100</f>
        <v>2.6986506746626686</v>
      </c>
      <c r="R648" s="1">
        <f>(Table1[[#This Row],[Children_discharged _from_HHS_ Care]]/Table1[[#This Row],[Children_transferred_out_of_CBP_custody]])</f>
        <v>7</v>
      </c>
    </row>
    <row r="649" spans="1:18" x14ac:dyDescent="0.3">
      <c r="A649">
        <v>648</v>
      </c>
      <c r="B649" s="7">
        <v>45907</v>
      </c>
      <c r="C649" s="5">
        <v>4</v>
      </c>
      <c r="D649" s="5">
        <v>19</v>
      </c>
      <c r="E649" s="5">
        <v>9</v>
      </c>
      <c r="F649" s="5">
        <v>2026</v>
      </c>
      <c r="G649" s="5">
        <v>7</v>
      </c>
      <c r="H649" t="str">
        <f t="shared" si="51"/>
        <v>Valid</v>
      </c>
      <c r="I649" t="str">
        <f t="shared" si="52"/>
        <v>Valid</v>
      </c>
      <c r="J649" s="5">
        <f t="shared" si="53"/>
        <v>2019</v>
      </c>
      <c r="K649" s="5">
        <f t="shared" si="54"/>
        <v>2045</v>
      </c>
      <c r="L649" s="5">
        <f>IF(Table1[[#This Row],[Total_System_Load]]&gt;80%*AVERAGE(Table1[Total_System_Load]),Table1[[#This Row],[Total_System_Load]]-Table1[[#This Row],[Total_Children_Under_Care]],0)</f>
        <v>0</v>
      </c>
      <c r="M649" s="5">
        <f t="shared" si="50"/>
        <v>2</v>
      </c>
      <c r="N649" s="5">
        <f>M650-Table1[[#This Row],[Net_Daily_Intake]]</f>
        <v>-3</v>
      </c>
      <c r="O649" s="5">
        <f>M650-Table1[[#This Row],[Net_Daily_Intake]]/Table1[[#This Row],[Net_Daily_Intake]]</f>
        <v>-2</v>
      </c>
      <c r="P649" t="str">
        <f>IF(Table1[[#This Row],[Change_in_Net_Daily_Intake]]&gt;0,"Sustained Positive","Negative")</f>
        <v>Negative</v>
      </c>
      <c r="Q649" s="1">
        <f>(Table1[[#This Row],[Total_System_Load]]-Table1[[#This Row],[Total_Children_Under_Care]])/Table1[[#This Row],[Total_Children_Under_Care]]*100</f>
        <v>1.2877662209014362</v>
      </c>
      <c r="R649" s="1">
        <f>(Table1[[#This Row],[Children_discharged _from_HHS_ Care]]/Table1[[#This Row],[Children_transferred_out_of_CBP_custody]])</f>
        <v>0.77777777777777779</v>
      </c>
    </row>
    <row r="650" spans="1:18" x14ac:dyDescent="0.3">
      <c r="A650">
        <v>649</v>
      </c>
      <c r="B650" s="7">
        <v>45908</v>
      </c>
      <c r="C650" s="5">
        <v>7</v>
      </c>
      <c r="D650" s="5">
        <v>25</v>
      </c>
      <c r="E650" s="5">
        <v>5</v>
      </c>
      <c r="F650" s="5">
        <v>2025</v>
      </c>
      <c r="G650" s="5">
        <v>6</v>
      </c>
      <c r="H650" t="str">
        <f t="shared" si="51"/>
        <v>Valid</v>
      </c>
      <c r="I650" t="str">
        <f t="shared" si="52"/>
        <v>Valid</v>
      </c>
      <c r="J650" s="5">
        <f t="shared" si="53"/>
        <v>2019</v>
      </c>
      <c r="K650" s="5">
        <f t="shared" si="54"/>
        <v>2050</v>
      </c>
      <c r="L650" s="5">
        <f>IF(Table1[[#This Row],[Total_System_Load]]&gt;80%*AVERAGE(Table1[Total_System_Load]),Table1[[#This Row],[Total_System_Load]]-Table1[[#This Row],[Total_Children_Under_Care]],0)</f>
        <v>0</v>
      </c>
      <c r="M650" s="5">
        <f t="shared" si="50"/>
        <v>-1</v>
      </c>
      <c r="N650" s="5">
        <f>M651-Table1[[#This Row],[Net_Daily_Intake]]</f>
        <v>-2</v>
      </c>
      <c r="O650" s="5">
        <f>M651-Table1[[#This Row],[Net_Daily_Intake]]/Table1[[#This Row],[Net_Daily_Intake]]</f>
        <v>-4</v>
      </c>
      <c r="P650" t="str">
        <f>IF(Table1[[#This Row],[Change_in_Net_Daily_Intake]]&gt;0,"Sustained Positive","Negative")</f>
        <v>Negative</v>
      </c>
      <c r="Q650" s="1">
        <f>(Table1[[#This Row],[Total_System_Load]]-Table1[[#This Row],[Total_Children_Under_Care]])/Table1[[#This Row],[Total_Children_Under_Care]]*100</f>
        <v>1.5354135710747894</v>
      </c>
      <c r="R650" s="1">
        <f>(Table1[[#This Row],[Children_discharged _from_HHS_ Care]]/Table1[[#This Row],[Children_transferred_out_of_CBP_custody]])</f>
        <v>1.2</v>
      </c>
    </row>
    <row r="651" spans="1:18" x14ac:dyDescent="0.3">
      <c r="A651">
        <v>650</v>
      </c>
      <c r="B651" s="7">
        <v>45909</v>
      </c>
      <c r="C651" s="5">
        <v>18</v>
      </c>
      <c r="D651" s="5">
        <v>42</v>
      </c>
      <c r="E651" s="5">
        <v>11</v>
      </c>
      <c r="F651" s="5">
        <v>2023</v>
      </c>
      <c r="G651" s="5">
        <v>14</v>
      </c>
      <c r="H651" t="str">
        <f t="shared" si="51"/>
        <v>Valid</v>
      </c>
      <c r="I651" t="str">
        <f t="shared" si="52"/>
        <v>Valid</v>
      </c>
      <c r="J651" s="5">
        <f t="shared" si="53"/>
        <v>2009</v>
      </c>
      <c r="K651" s="5">
        <f t="shared" si="54"/>
        <v>2065</v>
      </c>
      <c r="L651" s="5">
        <f>IF(Table1[[#This Row],[Total_System_Load]]&gt;80%*AVERAGE(Table1[Total_System_Load]),Table1[[#This Row],[Total_System_Load]]-Table1[[#This Row],[Total_Children_Under_Care]],0)</f>
        <v>0</v>
      </c>
      <c r="M651" s="5">
        <f t="shared" si="50"/>
        <v>-3</v>
      </c>
      <c r="N651" s="5">
        <f>M652-Table1[[#This Row],[Net_Daily_Intake]]</f>
        <v>-1</v>
      </c>
      <c r="O651" s="5">
        <f>M652-Table1[[#This Row],[Net_Daily_Intake]]/Table1[[#This Row],[Net_Daily_Intake]]</f>
        <v>-5</v>
      </c>
      <c r="P651" t="str">
        <f>IF(Table1[[#This Row],[Change_in_Net_Daily_Intake]]&gt;0,"Sustained Positive","Negative")</f>
        <v>Negative</v>
      </c>
      <c r="Q651" s="1">
        <f>(Table1[[#This Row],[Total_System_Load]]-Table1[[#This Row],[Total_Children_Under_Care]])/Table1[[#This Row],[Total_Children_Under_Care]]*100</f>
        <v>2.7874564459930316</v>
      </c>
      <c r="R651" s="1">
        <f>(Table1[[#This Row],[Children_discharged _from_HHS_ Care]]/Table1[[#This Row],[Children_transferred_out_of_CBP_custody]])</f>
        <v>1.2727272727272727</v>
      </c>
    </row>
    <row r="652" spans="1:18" x14ac:dyDescent="0.3">
      <c r="A652">
        <v>651</v>
      </c>
      <c r="B652" s="7">
        <v>45910</v>
      </c>
      <c r="C652" s="5">
        <v>10</v>
      </c>
      <c r="D652" s="5">
        <v>47</v>
      </c>
      <c r="E652" s="5">
        <v>14</v>
      </c>
      <c r="F652" s="5">
        <v>2025</v>
      </c>
      <c r="G652" s="5">
        <v>18</v>
      </c>
      <c r="H652" t="str">
        <f t="shared" si="51"/>
        <v>Valid</v>
      </c>
      <c r="I652" t="str">
        <f t="shared" si="52"/>
        <v>Valid</v>
      </c>
      <c r="J652" s="5">
        <f t="shared" si="53"/>
        <v>2007</v>
      </c>
      <c r="K652" s="5">
        <f t="shared" si="54"/>
        <v>2072</v>
      </c>
      <c r="L652" s="5">
        <f>IF(Table1[[#This Row],[Total_System_Load]]&gt;80%*AVERAGE(Table1[Total_System_Load]),Table1[[#This Row],[Total_System_Load]]-Table1[[#This Row],[Total_Children_Under_Care]],0)</f>
        <v>0</v>
      </c>
      <c r="M652" s="5">
        <f t="shared" si="50"/>
        <v>-4</v>
      </c>
      <c r="N652" s="5">
        <f>M653-Table1[[#This Row],[Net_Daily_Intake]]</f>
        <v>27</v>
      </c>
      <c r="O652" s="5">
        <f>M653-Table1[[#This Row],[Net_Daily_Intake]]/Table1[[#This Row],[Net_Daily_Intake]]</f>
        <v>22</v>
      </c>
      <c r="P652" t="str">
        <f>IF(Table1[[#This Row],[Change_in_Net_Daily_Intake]]&gt;0,"Sustained Positive","Negative")</f>
        <v>Sustained Positive</v>
      </c>
      <c r="Q652" s="1">
        <f>(Table1[[#This Row],[Total_System_Load]]-Table1[[#This Row],[Total_Children_Under_Care]])/Table1[[#This Row],[Total_Children_Under_Care]]*100</f>
        <v>3.2386646736422517</v>
      </c>
      <c r="R652" s="1">
        <f>(Table1[[#This Row],[Children_discharged _from_HHS_ Care]]/Table1[[#This Row],[Children_transferred_out_of_CBP_custody]])</f>
        <v>1.2857142857142858</v>
      </c>
    </row>
    <row r="653" spans="1:18" x14ac:dyDescent="0.3">
      <c r="A653">
        <v>652</v>
      </c>
      <c r="B653" s="7">
        <v>45911</v>
      </c>
      <c r="C653" s="5">
        <v>12</v>
      </c>
      <c r="D653" s="5">
        <v>38</v>
      </c>
      <c r="E653" s="5">
        <v>29</v>
      </c>
      <c r="F653" s="5">
        <v>2047</v>
      </c>
      <c r="G653" s="5">
        <v>6</v>
      </c>
      <c r="H653" t="str">
        <f t="shared" si="51"/>
        <v>Valid</v>
      </c>
      <c r="I653" t="str">
        <f t="shared" si="52"/>
        <v>Valid</v>
      </c>
      <c r="J653" s="5">
        <f t="shared" si="53"/>
        <v>2041</v>
      </c>
      <c r="K653" s="5">
        <f t="shared" si="54"/>
        <v>2085</v>
      </c>
      <c r="L653" s="5">
        <f>IF(Table1[[#This Row],[Total_System_Load]]&gt;80%*AVERAGE(Table1[Total_System_Load]),Table1[[#This Row],[Total_System_Load]]-Table1[[#This Row],[Total_Children_Under_Care]],0)</f>
        <v>0</v>
      </c>
      <c r="M653" s="5">
        <f t="shared" si="50"/>
        <v>23</v>
      </c>
      <c r="N653" s="5">
        <f>M654-Table1[[#This Row],[Net_Daily_Intake]]</f>
        <v>-15</v>
      </c>
      <c r="O653" s="5">
        <f>M654-Table1[[#This Row],[Net_Daily_Intake]]/Table1[[#This Row],[Net_Daily_Intake]]</f>
        <v>7</v>
      </c>
      <c r="P653" t="str">
        <f>IF(Table1[[#This Row],[Change_in_Net_Daily_Intake]]&gt;0,"Sustained Positive","Negative")</f>
        <v>Negative</v>
      </c>
      <c r="Q653" s="1">
        <f>(Table1[[#This Row],[Total_System_Load]]-Table1[[#This Row],[Total_Children_Under_Care]])/Table1[[#This Row],[Total_Children_Under_Care]]*100</f>
        <v>2.1558059774620286</v>
      </c>
      <c r="R653" s="1">
        <f>(Table1[[#This Row],[Children_discharged _from_HHS_ Care]]/Table1[[#This Row],[Children_transferred_out_of_CBP_custody]])</f>
        <v>0.20689655172413793</v>
      </c>
    </row>
    <row r="654" spans="1:18" x14ac:dyDescent="0.3">
      <c r="A654">
        <v>653</v>
      </c>
      <c r="B654" s="7">
        <v>45914</v>
      </c>
      <c r="C654" s="5">
        <v>7</v>
      </c>
      <c r="D654" s="5">
        <v>39</v>
      </c>
      <c r="E654" s="5">
        <v>13</v>
      </c>
      <c r="F654" s="5">
        <v>2083</v>
      </c>
      <c r="G654" s="5">
        <v>5</v>
      </c>
      <c r="H654" t="str">
        <f t="shared" si="51"/>
        <v>Valid</v>
      </c>
      <c r="I654" t="str">
        <f t="shared" si="52"/>
        <v>Valid</v>
      </c>
      <c r="J654" s="5">
        <f t="shared" si="53"/>
        <v>2078</v>
      </c>
      <c r="K654" s="5">
        <f t="shared" si="54"/>
        <v>2122</v>
      </c>
      <c r="L654" s="5">
        <f>IF(Table1[[#This Row],[Total_System_Load]]&gt;80%*AVERAGE(Table1[Total_System_Load]),Table1[[#This Row],[Total_System_Load]]-Table1[[#This Row],[Total_Children_Under_Care]],0)</f>
        <v>0</v>
      </c>
      <c r="M654" s="5">
        <f t="shared" si="50"/>
        <v>8</v>
      </c>
      <c r="N654" s="5">
        <f>M655-Table1[[#This Row],[Net_Daily_Intake]]</f>
        <v>-8</v>
      </c>
      <c r="O654" s="5">
        <f>M655-Table1[[#This Row],[Net_Daily_Intake]]/Table1[[#This Row],[Net_Daily_Intake]]</f>
        <v>-1</v>
      </c>
      <c r="P654" t="str">
        <f>IF(Table1[[#This Row],[Change_in_Net_Daily_Intake]]&gt;0,"Sustained Positive","Negative")</f>
        <v>Negative</v>
      </c>
      <c r="Q654" s="1">
        <f>(Table1[[#This Row],[Total_System_Load]]-Table1[[#This Row],[Total_Children_Under_Care]])/Table1[[#This Row],[Total_Children_Under_Care]]*100</f>
        <v>2.1174205967276225</v>
      </c>
      <c r="R654" s="1">
        <f>(Table1[[#This Row],[Children_discharged _from_HHS_ Care]]/Table1[[#This Row],[Children_transferred_out_of_CBP_custody]])</f>
        <v>0.38461538461538464</v>
      </c>
    </row>
    <row r="655" spans="1:18" x14ac:dyDescent="0.3">
      <c r="A655">
        <v>654</v>
      </c>
      <c r="B655" s="7">
        <v>45915</v>
      </c>
      <c r="C655" s="5">
        <v>9</v>
      </c>
      <c r="D655" s="5">
        <v>47</v>
      </c>
      <c r="E655" s="5">
        <v>10</v>
      </c>
      <c r="F655" s="5">
        <v>2086</v>
      </c>
      <c r="G655" s="5">
        <v>10</v>
      </c>
      <c r="H655" t="str">
        <f t="shared" si="51"/>
        <v>Valid</v>
      </c>
      <c r="I655" t="str">
        <f t="shared" si="52"/>
        <v>Valid</v>
      </c>
      <c r="J655" s="5">
        <f t="shared" si="53"/>
        <v>2076</v>
      </c>
      <c r="K655" s="5">
        <f t="shared" si="54"/>
        <v>2133</v>
      </c>
      <c r="L655" s="5">
        <f>IF(Table1[[#This Row],[Total_System_Load]]&gt;80%*AVERAGE(Table1[Total_System_Load]),Table1[[#This Row],[Total_System_Load]]-Table1[[#This Row],[Total_Children_Under_Care]],0)</f>
        <v>0</v>
      </c>
      <c r="M655" s="5">
        <f t="shared" si="50"/>
        <v>0</v>
      </c>
      <c r="N655" s="5">
        <f>M656-Table1[[#This Row],[Net_Daily_Intake]]</f>
        <v>5</v>
      </c>
      <c r="O655" s="5">
        <v>0</v>
      </c>
      <c r="P655" t="str">
        <f>IF(Table1[[#This Row],[Change_in_Net_Daily_Intake]]&gt;0,"Sustained Positive","Negative")</f>
        <v>Sustained Positive</v>
      </c>
      <c r="Q655" s="1">
        <f>(Table1[[#This Row],[Total_System_Load]]-Table1[[#This Row],[Total_Children_Under_Care]])/Table1[[#This Row],[Total_Children_Under_Care]]*100</f>
        <v>2.745664739884393</v>
      </c>
      <c r="R655" s="1">
        <f>(Table1[[#This Row],[Children_discharged _from_HHS_ Care]]/Table1[[#This Row],[Children_transferred_out_of_CBP_custody]])</f>
        <v>1</v>
      </c>
    </row>
    <row r="656" spans="1:18" x14ac:dyDescent="0.3">
      <c r="A656">
        <v>655</v>
      </c>
      <c r="B656" s="7">
        <v>45916</v>
      </c>
      <c r="C656" s="5">
        <v>7</v>
      </c>
      <c r="D656" s="5">
        <v>28</v>
      </c>
      <c r="E656" s="5">
        <v>17</v>
      </c>
      <c r="F656" s="5">
        <v>2095</v>
      </c>
      <c r="G656" s="5">
        <v>12</v>
      </c>
      <c r="H656" t="str">
        <f t="shared" si="51"/>
        <v>Valid</v>
      </c>
      <c r="I656" t="str">
        <f t="shared" si="52"/>
        <v>Valid</v>
      </c>
      <c r="J656" s="5">
        <f t="shared" si="53"/>
        <v>2083</v>
      </c>
      <c r="K656" s="5">
        <f t="shared" si="54"/>
        <v>2123</v>
      </c>
      <c r="L656" s="5">
        <f>IF(Table1[[#This Row],[Total_System_Load]]&gt;80%*AVERAGE(Table1[Total_System_Load]),Table1[[#This Row],[Total_System_Load]]-Table1[[#This Row],[Total_Children_Under_Care]],0)</f>
        <v>0</v>
      </c>
      <c r="M656" s="5">
        <f t="shared" si="50"/>
        <v>5</v>
      </c>
      <c r="N656" s="5">
        <f>M657-Table1[[#This Row],[Net_Daily_Intake]]</f>
        <v>-13</v>
      </c>
      <c r="O656" s="5">
        <f>M657-Table1[[#This Row],[Net_Daily_Intake]]/Table1[[#This Row],[Net_Daily_Intake]]</f>
        <v>-9</v>
      </c>
      <c r="P656" t="str">
        <f>IF(Table1[[#This Row],[Change_in_Net_Daily_Intake]]&gt;0,"Sustained Positive","Negative")</f>
        <v>Negative</v>
      </c>
      <c r="Q656" s="1">
        <f>(Table1[[#This Row],[Total_System_Load]]-Table1[[#This Row],[Total_Children_Under_Care]])/Table1[[#This Row],[Total_Children_Under_Care]]*100</f>
        <v>1.9203072491598656</v>
      </c>
      <c r="R656" s="1">
        <f>(Table1[[#This Row],[Children_discharged _from_HHS_ Care]]/Table1[[#This Row],[Children_transferred_out_of_CBP_custody]])</f>
        <v>0.70588235294117652</v>
      </c>
    </row>
    <row r="657" spans="1:18" x14ac:dyDescent="0.3">
      <c r="A657">
        <v>656</v>
      </c>
      <c r="B657" s="7">
        <v>45917</v>
      </c>
      <c r="C657" s="5">
        <v>7</v>
      </c>
      <c r="D657" s="5">
        <v>38</v>
      </c>
      <c r="E657" s="5">
        <v>5</v>
      </c>
      <c r="F657" s="5">
        <v>2096</v>
      </c>
      <c r="G657" s="5">
        <v>13</v>
      </c>
      <c r="H657" t="str">
        <f t="shared" si="51"/>
        <v>Valid</v>
      </c>
      <c r="I657" t="str">
        <f t="shared" si="52"/>
        <v>Valid</v>
      </c>
      <c r="J657" s="5">
        <f t="shared" si="53"/>
        <v>2083</v>
      </c>
      <c r="K657" s="5">
        <f t="shared" si="54"/>
        <v>2134</v>
      </c>
      <c r="L657" s="5">
        <f>IF(Table1[[#This Row],[Total_System_Load]]&gt;80%*AVERAGE(Table1[Total_System_Load]),Table1[[#This Row],[Total_System_Load]]-Table1[[#This Row],[Total_Children_Under_Care]],0)</f>
        <v>0</v>
      </c>
      <c r="M657" s="5">
        <f t="shared" si="50"/>
        <v>-8</v>
      </c>
      <c r="N657" s="5">
        <f>M658-Table1[[#This Row],[Net_Daily_Intake]]</f>
        <v>5</v>
      </c>
      <c r="O657" s="5">
        <f>M658-Table1[[#This Row],[Net_Daily_Intake]]/Table1[[#This Row],[Net_Daily_Intake]]</f>
        <v>-4</v>
      </c>
      <c r="P657" t="str">
        <f>IF(Table1[[#This Row],[Change_in_Net_Daily_Intake]]&gt;0,"Sustained Positive","Negative")</f>
        <v>Sustained Positive</v>
      </c>
      <c r="Q657" s="1">
        <f>(Table1[[#This Row],[Total_System_Load]]-Table1[[#This Row],[Total_Children_Under_Care]])/Table1[[#This Row],[Total_Children_Under_Care]]*100</f>
        <v>2.4483917426788286</v>
      </c>
      <c r="R657" s="1">
        <f>(Table1[[#This Row],[Children_discharged _from_HHS_ Care]]/Table1[[#This Row],[Children_transferred_out_of_CBP_custody]])</f>
        <v>2.6</v>
      </c>
    </row>
    <row r="658" spans="1:18" x14ac:dyDescent="0.3">
      <c r="A658">
        <v>657</v>
      </c>
      <c r="B658" s="7">
        <v>45918</v>
      </c>
      <c r="C658" s="5">
        <v>20</v>
      </c>
      <c r="D658" s="5">
        <v>52</v>
      </c>
      <c r="E658" s="5">
        <v>11</v>
      </c>
      <c r="F658" s="5">
        <v>2096</v>
      </c>
      <c r="G658" s="5">
        <v>14</v>
      </c>
      <c r="H658" t="str">
        <f t="shared" si="51"/>
        <v>Valid</v>
      </c>
      <c r="I658" t="str">
        <f t="shared" si="52"/>
        <v>Valid</v>
      </c>
      <c r="J658" s="5">
        <f t="shared" si="53"/>
        <v>2082</v>
      </c>
      <c r="K658" s="5">
        <f t="shared" si="54"/>
        <v>2148</v>
      </c>
      <c r="L658" s="5">
        <f>IF(Table1[[#This Row],[Total_System_Load]]&gt;80%*AVERAGE(Table1[Total_System_Load]),Table1[[#This Row],[Total_System_Load]]-Table1[[#This Row],[Total_Children_Under_Care]],0)</f>
        <v>0</v>
      </c>
      <c r="M658" s="5">
        <f t="shared" si="50"/>
        <v>-3</v>
      </c>
      <c r="N658" s="5">
        <f>M659-Table1[[#This Row],[Net_Daily_Intake]]</f>
        <v>11</v>
      </c>
      <c r="O658" s="5">
        <f>M659-Table1[[#This Row],[Net_Daily_Intake]]/Table1[[#This Row],[Net_Daily_Intake]]</f>
        <v>7</v>
      </c>
      <c r="P658" t="str">
        <f>IF(Table1[[#This Row],[Change_in_Net_Daily_Intake]]&gt;0,"Sustained Positive","Negative")</f>
        <v>Sustained Positive</v>
      </c>
      <c r="Q658" s="1">
        <f>(Table1[[#This Row],[Total_System_Load]]-Table1[[#This Row],[Total_Children_Under_Care]])/Table1[[#This Row],[Total_Children_Under_Care]]*100</f>
        <v>3.1700288184438041</v>
      </c>
      <c r="R658" s="1">
        <f>(Table1[[#This Row],[Children_discharged _from_HHS_ Care]]/Table1[[#This Row],[Children_transferred_out_of_CBP_custody]])</f>
        <v>1.2727272727272727</v>
      </c>
    </row>
    <row r="659" spans="1:18" x14ac:dyDescent="0.3">
      <c r="A659">
        <v>658</v>
      </c>
      <c r="B659" s="7">
        <v>45921</v>
      </c>
      <c r="C659" s="5">
        <v>8</v>
      </c>
      <c r="D659" s="5">
        <v>35</v>
      </c>
      <c r="E659" s="5">
        <v>13</v>
      </c>
      <c r="F659" s="5">
        <v>2134</v>
      </c>
      <c r="G659" s="5">
        <v>5</v>
      </c>
      <c r="H659" t="str">
        <f t="shared" si="51"/>
        <v>Valid</v>
      </c>
      <c r="I659" t="str">
        <f t="shared" si="52"/>
        <v>Valid</v>
      </c>
      <c r="J659" s="5">
        <f t="shared" si="53"/>
        <v>2129</v>
      </c>
      <c r="K659" s="5">
        <f t="shared" si="54"/>
        <v>2169</v>
      </c>
      <c r="L659" s="5">
        <f>IF(Table1[[#This Row],[Total_System_Load]]&gt;80%*AVERAGE(Table1[Total_System_Load]),Table1[[#This Row],[Total_System_Load]]-Table1[[#This Row],[Total_Children_Under_Care]],0)</f>
        <v>0</v>
      </c>
      <c r="M659" s="5">
        <f t="shared" si="50"/>
        <v>8</v>
      </c>
      <c r="N659" s="5">
        <f>M660-Table1[[#This Row],[Net_Daily_Intake]]</f>
        <v>-4</v>
      </c>
      <c r="O659" s="5">
        <f>M660-Table1[[#This Row],[Net_Daily_Intake]]/Table1[[#This Row],[Net_Daily_Intake]]</f>
        <v>3</v>
      </c>
      <c r="P659" t="str">
        <f>IF(Table1[[#This Row],[Change_in_Net_Daily_Intake]]&gt;0,"Sustained Positive","Negative")</f>
        <v>Negative</v>
      </c>
      <c r="Q659" s="1">
        <f>(Table1[[#This Row],[Total_System_Load]]-Table1[[#This Row],[Total_Children_Under_Care]])/Table1[[#This Row],[Total_Children_Under_Care]]*100</f>
        <v>1.8788163457022076</v>
      </c>
      <c r="R659" s="1">
        <f>(Table1[[#This Row],[Children_discharged _from_HHS_ Care]]/Table1[[#This Row],[Children_transferred_out_of_CBP_custody]])</f>
        <v>0.38461538461538464</v>
      </c>
    </row>
    <row r="660" spans="1:18" x14ac:dyDescent="0.3">
      <c r="A660">
        <v>659</v>
      </c>
      <c r="B660" s="7">
        <v>45922</v>
      </c>
      <c r="C660" s="5">
        <v>17</v>
      </c>
      <c r="D660" s="5">
        <v>40</v>
      </c>
      <c r="E660" s="5">
        <v>14</v>
      </c>
      <c r="F660" s="5">
        <v>2141</v>
      </c>
      <c r="G660" s="5">
        <v>10</v>
      </c>
      <c r="H660" t="str">
        <f t="shared" si="51"/>
        <v>Valid</v>
      </c>
      <c r="I660" t="str">
        <f t="shared" si="52"/>
        <v>Valid</v>
      </c>
      <c r="J660" s="5">
        <f t="shared" si="53"/>
        <v>2131</v>
      </c>
      <c r="K660" s="5">
        <f t="shared" si="54"/>
        <v>2181</v>
      </c>
      <c r="L660" s="5">
        <f>IF(Table1[[#This Row],[Total_System_Load]]&gt;80%*AVERAGE(Table1[Total_System_Load]),Table1[[#This Row],[Total_System_Load]]-Table1[[#This Row],[Total_Children_Under_Care]],0)</f>
        <v>0</v>
      </c>
      <c r="M660" s="5">
        <f t="shared" si="50"/>
        <v>4</v>
      </c>
      <c r="N660" s="5">
        <f>M661-Table1[[#This Row],[Net_Daily_Intake]]</f>
        <v>-9</v>
      </c>
      <c r="O660" s="5">
        <f>M661-Table1[[#This Row],[Net_Daily_Intake]]/Table1[[#This Row],[Net_Daily_Intake]]</f>
        <v>-6</v>
      </c>
      <c r="P660" t="str">
        <f>IF(Table1[[#This Row],[Change_in_Net_Daily_Intake]]&gt;0,"Sustained Positive","Negative")</f>
        <v>Negative</v>
      </c>
      <c r="Q660" s="1">
        <f>(Table1[[#This Row],[Total_System_Load]]-Table1[[#This Row],[Total_Children_Under_Care]])/Table1[[#This Row],[Total_Children_Under_Care]]*100</f>
        <v>2.3463162834350069</v>
      </c>
      <c r="R660" s="1">
        <f>(Table1[[#This Row],[Children_discharged _from_HHS_ Care]]/Table1[[#This Row],[Children_transferred_out_of_CBP_custody]])</f>
        <v>0.7142857142857143</v>
      </c>
    </row>
    <row r="661" spans="1:18" x14ac:dyDescent="0.3">
      <c r="A661">
        <v>660</v>
      </c>
      <c r="B661" s="7">
        <v>45923</v>
      </c>
      <c r="C661" s="5">
        <v>11</v>
      </c>
      <c r="D661" s="5">
        <v>36</v>
      </c>
      <c r="E661" s="5">
        <v>10</v>
      </c>
      <c r="F661" s="5">
        <v>2145</v>
      </c>
      <c r="G661" s="5">
        <v>15</v>
      </c>
      <c r="H661" t="str">
        <f t="shared" si="51"/>
        <v>Valid</v>
      </c>
      <c r="I661" t="str">
        <f t="shared" si="52"/>
        <v>Valid</v>
      </c>
      <c r="J661" s="5">
        <f t="shared" si="53"/>
        <v>2130</v>
      </c>
      <c r="K661" s="5">
        <f t="shared" si="54"/>
        <v>2181</v>
      </c>
      <c r="L661" s="5">
        <f>IF(Table1[[#This Row],[Total_System_Load]]&gt;80%*AVERAGE(Table1[Total_System_Load]),Table1[[#This Row],[Total_System_Load]]-Table1[[#This Row],[Total_Children_Under_Care]],0)</f>
        <v>0</v>
      </c>
      <c r="M661" s="5">
        <f t="shared" si="50"/>
        <v>-5</v>
      </c>
      <c r="N661" s="5">
        <f>M662-Table1[[#This Row],[Net_Daily_Intake]]</f>
        <v>0</v>
      </c>
      <c r="O661" s="5">
        <f>M662-Table1[[#This Row],[Net_Daily_Intake]]/Table1[[#This Row],[Net_Daily_Intake]]</f>
        <v>-6</v>
      </c>
      <c r="P661" t="str">
        <f>IF(Table1[[#This Row],[Change_in_Net_Daily_Intake]]&gt;0,"Sustained Positive","Negative")</f>
        <v>Negative</v>
      </c>
      <c r="Q661" s="1">
        <f>(Table1[[#This Row],[Total_System_Load]]-Table1[[#This Row],[Total_Children_Under_Care]])/Table1[[#This Row],[Total_Children_Under_Care]]*100</f>
        <v>2.3943661971830985</v>
      </c>
      <c r="R661" s="1">
        <f>(Table1[[#This Row],[Children_discharged _from_HHS_ Care]]/Table1[[#This Row],[Children_transferred_out_of_CBP_custody]])</f>
        <v>1.5</v>
      </c>
    </row>
    <row r="662" spans="1:18" x14ac:dyDescent="0.3">
      <c r="A662">
        <v>661</v>
      </c>
      <c r="B662" s="7">
        <v>45924</v>
      </c>
      <c r="C662" s="5">
        <v>3</v>
      </c>
      <c r="D662" s="5">
        <v>38</v>
      </c>
      <c r="E662" s="5">
        <v>12</v>
      </c>
      <c r="F662" s="5">
        <v>2138</v>
      </c>
      <c r="G662" s="5">
        <v>17</v>
      </c>
      <c r="H662" t="str">
        <f t="shared" si="51"/>
        <v>Valid</v>
      </c>
      <c r="I662" t="str">
        <f t="shared" si="52"/>
        <v>Valid</v>
      </c>
      <c r="J662" s="5">
        <f t="shared" si="53"/>
        <v>2121</v>
      </c>
      <c r="K662" s="5">
        <f t="shared" si="54"/>
        <v>2176</v>
      </c>
      <c r="L662" s="5">
        <f>IF(Table1[[#This Row],[Total_System_Load]]&gt;80%*AVERAGE(Table1[Total_System_Load]),Table1[[#This Row],[Total_System_Load]]-Table1[[#This Row],[Total_Children_Under_Care]],0)</f>
        <v>0</v>
      </c>
      <c r="M662" s="5">
        <f t="shared" si="50"/>
        <v>-5</v>
      </c>
      <c r="N662" s="5">
        <f>M663-Table1[[#This Row],[Net_Daily_Intake]]</f>
        <v>-1</v>
      </c>
      <c r="O662" s="5">
        <f>M663-Table1[[#This Row],[Net_Daily_Intake]]/Table1[[#This Row],[Net_Daily_Intake]]</f>
        <v>-7</v>
      </c>
      <c r="P662" t="str">
        <f>IF(Table1[[#This Row],[Change_in_Net_Daily_Intake]]&gt;0,"Sustained Positive","Negative")</f>
        <v>Negative</v>
      </c>
      <c r="Q662" s="1">
        <f>(Table1[[#This Row],[Total_System_Load]]-Table1[[#This Row],[Total_Children_Under_Care]])/Table1[[#This Row],[Total_Children_Under_Care]]*100</f>
        <v>2.5931164545025931</v>
      </c>
      <c r="R662" s="1">
        <f>(Table1[[#This Row],[Children_discharged _from_HHS_ Care]]/Table1[[#This Row],[Children_transferred_out_of_CBP_custody]])</f>
        <v>1.4166666666666667</v>
      </c>
    </row>
    <row r="663" spans="1:18" x14ac:dyDescent="0.3">
      <c r="A663">
        <v>662</v>
      </c>
      <c r="B663" s="7">
        <v>45925</v>
      </c>
      <c r="C663" s="5">
        <v>6</v>
      </c>
      <c r="D663" s="5">
        <v>35</v>
      </c>
      <c r="E663" s="5">
        <v>12</v>
      </c>
      <c r="F663" s="5">
        <v>2132</v>
      </c>
      <c r="G663" s="5">
        <v>18</v>
      </c>
      <c r="H663" t="str">
        <f t="shared" si="51"/>
        <v>Valid</v>
      </c>
      <c r="I663" t="str">
        <f t="shared" si="52"/>
        <v>Valid</v>
      </c>
      <c r="J663" s="5">
        <f t="shared" si="53"/>
        <v>2114</v>
      </c>
      <c r="K663" s="5">
        <f t="shared" si="54"/>
        <v>2167</v>
      </c>
      <c r="L663" s="5">
        <f>IF(Table1[[#This Row],[Total_System_Load]]&gt;80%*AVERAGE(Table1[Total_System_Load]),Table1[[#This Row],[Total_System_Load]]-Table1[[#This Row],[Total_Children_Under_Care]],0)</f>
        <v>0</v>
      </c>
      <c r="M663" s="5">
        <f t="shared" si="50"/>
        <v>-6</v>
      </c>
      <c r="N663" s="5">
        <f>M664-Table1[[#This Row],[Net_Daily_Intake]]</f>
        <v>9</v>
      </c>
      <c r="O663" s="5">
        <f>M664-Table1[[#This Row],[Net_Daily_Intake]]/Table1[[#This Row],[Net_Daily_Intake]]</f>
        <v>2</v>
      </c>
      <c r="P663" t="str">
        <f>IF(Table1[[#This Row],[Change_in_Net_Daily_Intake]]&gt;0,"Sustained Positive","Negative")</f>
        <v>Sustained Positive</v>
      </c>
      <c r="Q663" s="1">
        <f>(Table1[[#This Row],[Total_System_Load]]-Table1[[#This Row],[Total_Children_Under_Care]])/Table1[[#This Row],[Total_Children_Under_Care]]*100</f>
        <v>2.5070955534531691</v>
      </c>
      <c r="R663" s="1">
        <f>(Table1[[#This Row],[Children_discharged _from_HHS_ Care]]/Table1[[#This Row],[Children_transferred_out_of_CBP_custody]])</f>
        <v>1.5</v>
      </c>
    </row>
    <row r="664" spans="1:18" x14ac:dyDescent="0.3">
      <c r="A664">
        <v>663</v>
      </c>
      <c r="B664" s="7">
        <v>45928</v>
      </c>
      <c r="C664" s="5">
        <v>11</v>
      </c>
      <c r="D664" s="5">
        <v>29</v>
      </c>
      <c r="E664" s="5">
        <v>12</v>
      </c>
      <c r="F664" s="5">
        <v>2146</v>
      </c>
      <c r="G664" s="5">
        <v>9</v>
      </c>
      <c r="H664" t="str">
        <f t="shared" si="51"/>
        <v>Valid</v>
      </c>
      <c r="I664" t="str">
        <f t="shared" si="52"/>
        <v>Valid</v>
      </c>
      <c r="J664" s="5">
        <f t="shared" si="53"/>
        <v>2137</v>
      </c>
      <c r="K664" s="5">
        <f t="shared" si="54"/>
        <v>2175</v>
      </c>
      <c r="L664" s="5">
        <f>IF(Table1[[#This Row],[Total_System_Load]]&gt;80%*AVERAGE(Table1[Total_System_Load]),Table1[[#This Row],[Total_System_Load]]-Table1[[#This Row],[Total_Children_Under_Care]],0)</f>
        <v>0</v>
      </c>
      <c r="M664" s="5">
        <f t="shared" si="50"/>
        <v>3</v>
      </c>
      <c r="N664" s="5">
        <f>M665-Table1[[#This Row],[Net_Daily_Intake]]</f>
        <v>-4</v>
      </c>
      <c r="O664" s="5">
        <f>M665-Table1[[#This Row],[Net_Daily_Intake]]/Table1[[#This Row],[Net_Daily_Intake]]</f>
        <v>-2</v>
      </c>
      <c r="P664" t="str">
        <f>IF(Table1[[#This Row],[Change_in_Net_Daily_Intake]]&gt;0,"Sustained Positive","Negative")</f>
        <v>Negative</v>
      </c>
      <c r="Q664" s="1">
        <f>(Table1[[#This Row],[Total_System_Load]]-Table1[[#This Row],[Total_Children_Under_Care]])/Table1[[#This Row],[Total_Children_Under_Care]]*100</f>
        <v>1.7781937295273749</v>
      </c>
      <c r="R664" s="1">
        <f>(Table1[[#This Row],[Children_discharged _from_HHS_ Care]]/Table1[[#This Row],[Children_transferred_out_of_CBP_custody]])</f>
        <v>0.75</v>
      </c>
    </row>
    <row r="665" spans="1:18" x14ac:dyDescent="0.3">
      <c r="A665">
        <v>664</v>
      </c>
      <c r="B665" s="7">
        <v>45929</v>
      </c>
      <c r="C665" s="5">
        <v>8</v>
      </c>
      <c r="D665" s="5">
        <v>35</v>
      </c>
      <c r="E665" s="5">
        <v>12</v>
      </c>
      <c r="F665" s="5">
        <v>2148</v>
      </c>
      <c r="G665" s="5">
        <v>13</v>
      </c>
      <c r="H665" t="str">
        <f t="shared" si="51"/>
        <v>Valid</v>
      </c>
      <c r="I665" t="str">
        <f t="shared" si="52"/>
        <v>Valid</v>
      </c>
      <c r="J665" s="5">
        <f t="shared" si="53"/>
        <v>2135</v>
      </c>
      <c r="K665" s="5">
        <f t="shared" si="54"/>
        <v>2183</v>
      </c>
      <c r="L665" s="5">
        <f>IF(Table1[[#This Row],[Total_System_Load]]&gt;80%*AVERAGE(Table1[Total_System_Load]),Table1[[#This Row],[Total_System_Load]]-Table1[[#This Row],[Total_Children_Under_Care]],0)</f>
        <v>0</v>
      </c>
      <c r="M665" s="5">
        <f t="shared" si="50"/>
        <v>-1</v>
      </c>
      <c r="N665" s="5">
        <f>M666-Table1[[#This Row],[Net_Daily_Intake]]</f>
        <v>6</v>
      </c>
      <c r="O665" s="5">
        <f>M666-Table1[[#This Row],[Net_Daily_Intake]]/Table1[[#This Row],[Net_Daily_Intake]]</f>
        <v>4</v>
      </c>
      <c r="P665" t="str">
        <f>IF(Table1[[#This Row],[Change_in_Net_Daily_Intake]]&gt;0,"Sustained Positive","Negative")</f>
        <v>Sustained Positive</v>
      </c>
      <c r="Q665" s="1">
        <f>(Table1[[#This Row],[Total_System_Load]]-Table1[[#This Row],[Total_Children_Under_Care]])/Table1[[#This Row],[Total_Children_Under_Care]]*100</f>
        <v>2.2482435597189694</v>
      </c>
      <c r="R665" s="1">
        <f>(Table1[[#This Row],[Children_discharged _from_HHS_ Care]]/Table1[[#This Row],[Children_transferred_out_of_CBP_custody]])</f>
        <v>1.0833333333333333</v>
      </c>
    </row>
    <row r="666" spans="1:18" x14ac:dyDescent="0.3">
      <c r="A666">
        <v>665</v>
      </c>
      <c r="B666" s="7">
        <v>45930</v>
      </c>
      <c r="C666" s="5">
        <v>8</v>
      </c>
      <c r="D666" s="5">
        <v>32</v>
      </c>
      <c r="E666" s="5">
        <v>12</v>
      </c>
      <c r="F666" s="5">
        <v>2159</v>
      </c>
      <c r="G666" s="5">
        <v>7</v>
      </c>
      <c r="H666" t="str">
        <f t="shared" si="51"/>
        <v>Valid</v>
      </c>
      <c r="I666" t="str">
        <f t="shared" si="52"/>
        <v>Valid</v>
      </c>
      <c r="J666" s="5">
        <f t="shared" si="53"/>
        <v>2152</v>
      </c>
      <c r="K666" s="5">
        <f t="shared" si="54"/>
        <v>2191</v>
      </c>
      <c r="L666" s="5">
        <f>IF(Table1[[#This Row],[Total_System_Load]]&gt;80%*AVERAGE(Table1[Total_System_Load]),Table1[[#This Row],[Total_System_Load]]-Table1[[#This Row],[Total_Children_Under_Care]],0)</f>
        <v>0</v>
      </c>
      <c r="M666" s="5">
        <f t="shared" si="50"/>
        <v>5</v>
      </c>
      <c r="N666" s="5">
        <f>M667-Table1[[#This Row],[Net_Daily_Intake]]</f>
        <v>-7</v>
      </c>
      <c r="O666" s="5">
        <f>M667-Table1[[#This Row],[Net_Daily_Intake]]/Table1[[#This Row],[Net_Daily_Intake]]</f>
        <v>-3</v>
      </c>
      <c r="P666" t="str">
        <f>IF(Table1[[#This Row],[Change_in_Net_Daily_Intake]]&gt;0,"Sustained Positive","Negative")</f>
        <v>Negative</v>
      </c>
      <c r="Q666" s="1">
        <f>(Table1[[#This Row],[Total_System_Load]]-Table1[[#This Row],[Total_Children_Under_Care]])/Table1[[#This Row],[Total_Children_Under_Care]]*100</f>
        <v>1.812267657992565</v>
      </c>
      <c r="R666" s="1">
        <f>(Table1[[#This Row],[Children_discharged _from_HHS_ Care]]/Table1[[#This Row],[Children_transferred_out_of_CBP_custody]])</f>
        <v>0.58333333333333337</v>
      </c>
    </row>
    <row r="667" spans="1:18" x14ac:dyDescent="0.3">
      <c r="A667">
        <v>666</v>
      </c>
      <c r="B667" s="7">
        <v>45931</v>
      </c>
      <c r="C667" s="5">
        <v>4</v>
      </c>
      <c r="D667" s="5">
        <v>33</v>
      </c>
      <c r="E667" s="5">
        <v>12</v>
      </c>
      <c r="F667" s="5">
        <v>2163</v>
      </c>
      <c r="G667" s="5">
        <v>14</v>
      </c>
      <c r="H667" t="str">
        <f t="shared" si="51"/>
        <v>Valid</v>
      </c>
      <c r="I667" t="str">
        <f t="shared" si="52"/>
        <v>Valid</v>
      </c>
      <c r="J667" s="5">
        <f t="shared" si="53"/>
        <v>2149</v>
      </c>
      <c r="K667" s="5">
        <f t="shared" si="54"/>
        <v>2196</v>
      </c>
      <c r="L667" s="5">
        <f>IF(Table1[[#This Row],[Total_System_Load]]&gt;80%*AVERAGE(Table1[Total_System_Load]),Table1[[#This Row],[Total_System_Load]]-Table1[[#This Row],[Total_Children_Under_Care]],0)</f>
        <v>0</v>
      </c>
      <c r="M667" s="5">
        <f t="shared" si="50"/>
        <v>-2</v>
      </c>
      <c r="N667" s="5">
        <f>M668-Table1[[#This Row],[Net_Daily_Intake]]</f>
        <v>1</v>
      </c>
      <c r="O667" s="5">
        <f>M668-Table1[[#This Row],[Net_Daily_Intake]]/Table1[[#This Row],[Net_Daily_Intake]]</f>
        <v>-2</v>
      </c>
      <c r="P667" t="str">
        <f>IF(Table1[[#This Row],[Change_in_Net_Daily_Intake]]&gt;0,"Sustained Positive","Negative")</f>
        <v>Sustained Positive</v>
      </c>
      <c r="Q667" s="1">
        <f>(Table1[[#This Row],[Total_System_Load]]-Table1[[#This Row],[Total_Children_Under_Care]])/Table1[[#This Row],[Total_Children_Under_Care]]*100</f>
        <v>2.1870637505816659</v>
      </c>
      <c r="R667" s="1">
        <f>(Table1[[#This Row],[Children_discharged _from_HHS_ Care]]/Table1[[#This Row],[Children_transferred_out_of_CBP_custody]])</f>
        <v>1.1666666666666667</v>
      </c>
    </row>
    <row r="668" spans="1:18" x14ac:dyDescent="0.3">
      <c r="A668">
        <v>667</v>
      </c>
      <c r="B668" s="7">
        <v>45932</v>
      </c>
      <c r="C668" s="5">
        <v>20</v>
      </c>
      <c r="D668" s="5">
        <v>51</v>
      </c>
      <c r="E668" s="5">
        <v>15</v>
      </c>
      <c r="F668" s="5">
        <v>2164</v>
      </c>
      <c r="G668" s="5">
        <v>16</v>
      </c>
      <c r="H668" t="str">
        <f t="shared" si="51"/>
        <v>Valid</v>
      </c>
      <c r="I668" t="str">
        <f t="shared" si="52"/>
        <v>Valid</v>
      </c>
      <c r="J668" s="5">
        <f t="shared" si="53"/>
        <v>2148</v>
      </c>
      <c r="K668" s="5">
        <f t="shared" si="54"/>
        <v>2215</v>
      </c>
      <c r="L668" s="5">
        <f>IF(Table1[[#This Row],[Total_System_Load]]&gt;80%*AVERAGE(Table1[Total_System_Load]),Table1[[#This Row],[Total_System_Load]]-Table1[[#This Row],[Total_Children_Under_Care]],0)</f>
        <v>0</v>
      </c>
      <c r="M668" s="5">
        <f t="shared" si="50"/>
        <v>-1</v>
      </c>
      <c r="N668" s="5">
        <f>M669-Table1[[#This Row],[Net_Daily_Intake]]</f>
        <v>-2</v>
      </c>
      <c r="O668" s="5">
        <f>M669-Table1[[#This Row],[Net_Daily_Intake]]/Table1[[#This Row],[Net_Daily_Intake]]</f>
        <v>-4</v>
      </c>
      <c r="P668" t="str">
        <f>IF(Table1[[#This Row],[Change_in_Net_Daily_Intake]]&gt;0,"Sustained Positive","Negative")</f>
        <v>Negative</v>
      </c>
      <c r="Q668" s="1">
        <f>(Table1[[#This Row],[Total_System_Load]]-Table1[[#This Row],[Total_Children_Under_Care]])/Table1[[#This Row],[Total_Children_Under_Care]]*100</f>
        <v>3.1191806331471135</v>
      </c>
      <c r="R668" s="1">
        <f>(Table1[[#This Row],[Children_discharged _from_HHS_ Care]]/Table1[[#This Row],[Children_transferred_out_of_CBP_custody]])</f>
        <v>1.0666666666666667</v>
      </c>
    </row>
    <row r="669" spans="1:18" x14ac:dyDescent="0.3">
      <c r="A669">
        <v>668</v>
      </c>
      <c r="B669" s="7">
        <v>45935</v>
      </c>
      <c r="C669" s="5">
        <v>8</v>
      </c>
      <c r="D669" s="5">
        <v>28</v>
      </c>
      <c r="E669" s="5">
        <v>13</v>
      </c>
      <c r="F669" s="5">
        <v>2180</v>
      </c>
      <c r="G669" s="5">
        <v>16</v>
      </c>
      <c r="H669" t="str">
        <f t="shared" si="51"/>
        <v>Valid</v>
      </c>
      <c r="I669" t="str">
        <f t="shared" si="52"/>
        <v>Valid</v>
      </c>
      <c r="J669" s="5">
        <f t="shared" si="53"/>
        <v>2164</v>
      </c>
      <c r="K669" s="5">
        <f t="shared" si="54"/>
        <v>2208</v>
      </c>
      <c r="L669" s="5">
        <f>IF(Table1[[#This Row],[Total_System_Load]]&gt;80%*AVERAGE(Table1[Total_System_Load]),Table1[[#This Row],[Total_System_Load]]-Table1[[#This Row],[Total_Children_Under_Care]],0)</f>
        <v>0</v>
      </c>
      <c r="M669" s="5">
        <f t="shared" si="50"/>
        <v>-3</v>
      </c>
      <c r="N669" s="5">
        <f>M670-Table1[[#This Row],[Net_Daily_Intake]]</f>
        <v>8</v>
      </c>
      <c r="O669" s="5">
        <f>M670-Table1[[#This Row],[Net_Daily_Intake]]/Table1[[#This Row],[Net_Daily_Intake]]</f>
        <v>4</v>
      </c>
      <c r="P669" t="str">
        <f>IF(Table1[[#This Row],[Change_in_Net_Daily_Intake]]&gt;0,"Sustained Positive","Negative")</f>
        <v>Sustained Positive</v>
      </c>
      <c r="Q669" s="1">
        <f>(Table1[[#This Row],[Total_System_Load]]-Table1[[#This Row],[Total_Children_Under_Care]])/Table1[[#This Row],[Total_Children_Under_Care]]*100</f>
        <v>2.033271719038817</v>
      </c>
      <c r="R669" s="1">
        <f>(Table1[[#This Row],[Children_discharged _from_HHS_ Care]]/Table1[[#This Row],[Children_transferred_out_of_CBP_custody]])</f>
        <v>1.2307692307692308</v>
      </c>
    </row>
    <row r="670" spans="1:18" x14ac:dyDescent="0.3">
      <c r="A670">
        <v>669</v>
      </c>
      <c r="B670" s="7">
        <v>45936</v>
      </c>
      <c r="C670" s="5">
        <v>5</v>
      </c>
      <c r="D670" s="5">
        <v>33</v>
      </c>
      <c r="E670" s="5">
        <v>15</v>
      </c>
      <c r="F670" s="5">
        <v>2187</v>
      </c>
      <c r="G670" s="5">
        <v>10</v>
      </c>
      <c r="H670" t="str">
        <f t="shared" si="51"/>
        <v>Valid</v>
      </c>
      <c r="I670" t="str">
        <f t="shared" si="52"/>
        <v>Valid</v>
      </c>
      <c r="J670" s="5">
        <f t="shared" si="53"/>
        <v>2177</v>
      </c>
      <c r="K670" s="5">
        <f t="shared" si="54"/>
        <v>2220</v>
      </c>
      <c r="L670" s="5">
        <f>IF(Table1[[#This Row],[Total_System_Load]]&gt;80%*AVERAGE(Table1[Total_System_Load]),Table1[[#This Row],[Total_System_Load]]-Table1[[#This Row],[Total_Children_Under_Care]],0)</f>
        <v>0</v>
      </c>
      <c r="M670" s="5">
        <f t="shared" si="50"/>
        <v>5</v>
      </c>
      <c r="N670" s="5">
        <f>M671-Table1[[#This Row],[Net_Daily_Intake]]</f>
        <v>-11</v>
      </c>
      <c r="O670" s="5">
        <f>M671-Table1[[#This Row],[Net_Daily_Intake]]/Table1[[#This Row],[Net_Daily_Intake]]</f>
        <v>-7</v>
      </c>
      <c r="P670" t="str">
        <f>IF(Table1[[#This Row],[Change_in_Net_Daily_Intake]]&gt;0,"Sustained Positive","Negative")</f>
        <v>Negative</v>
      </c>
      <c r="Q670" s="1">
        <f>(Table1[[#This Row],[Total_System_Load]]-Table1[[#This Row],[Total_Children_Under_Care]])/Table1[[#This Row],[Total_Children_Under_Care]]*100</f>
        <v>1.9751952227836471</v>
      </c>
      <c r="R670" s="1">
        <f>(Table1[[#This Row],[Children_discharged _from_HHS_ Care]]/Table1[[#This Row],[Children_transferred_out_of_CBP_custody]])</f>
        <v>0.66666666666666663</v>
      </c>
    </row>
    <row r="671" spans="1:18" x14ac:dyDescent="0.3">
      <c r="A671">
        <v>670</v>
      </c>
      <c r="B671" s="7">
        <v>45937</v>
      </c>
      <c r="C671" s="5">
        <v>11</v>
      </c>
      <c r="D671" s="5">
        <v>45</v>
      </c>
      <c r="E671" s="5">
        <v>4</v>
      </c>
      <c r="F671" s="5">
        <v>2189</v>
      </c>
      <c r="G671" s="5">
        <v>10</v>
      </c>
      <c r="H671" t="str">
        <f t="shared" si="51"/>
        <v>Valid</v>
      </c>
      <c r="I671" t="str">
        <f t="shared" si="52"/>
        <v>Valid</v>
      </c>
      <c r="J671" s="5">
        <f t="shared" si="53"/>
        <v>2179</v>
      </c>
      <c r="K671" s="5">
        <f t="shared" si="54"/>
        <v>2234</v>
      </c>
      <c r="L671" s="5">
        <f>IF(Table1[[#This Row],[Total_System_Load]]&gt;80%*AVERAGE(Table1[Total_System_Load]),Table1[[#This Row],[Total_System_Load]]-Table1[[#This Row],[Total_Children_Under_Care]],0)</f>
        <v>0</v>
      </c>
      <c r="M671" s="5">
        <f t="shared" si="50"/>
        <v>-6</v>
      </c>
      <c r="N671" s="5">
        <f>M672-Table1[[#This Row],[Net_Daily_Intake]]</f>
        <v>4</v>
      </c>
      <c r="O671" s="5">
        <f>M672-Table1[[#This Row],[Net_Daily_Intake]]/Table1[[#This Row],[Net_Daily_Intake]]</f>
        <v>-3</v>
      </c>
      <c r="P671" t="str">
        <f>IF(Table1[[#This Row],[Change_in_Net_Daily_Intake]]&gt;0,"Sustained Positive","Negative")</f>
        <v>Sustained Positive</v>
      </c>
      <c r="Q671" s="1">
        <f>(Table1[[#This Row],[Total_System_Load]]-Table1[[#This Row],[Total_Children_Under_Care]])/Table1[[#This Row],[Total_Children_Under_Care]]*100</f>
        <v>2.5240936209270308</v>
      </c>
      <c r="R671" s="1">
        <f>(Table1[[#This Row],[Children_discharged _from_HHS_ Care]]/Table1[[#This Row],[Children_transferred_out_of_CBP_custody]])</f>
        <v>2.5</v>
      </c>
    </row>
    <row r="672" spans="1:18" x14ac:dyDescent="0.3">
      <c r="A672">
        <v>671</v>
      </c>
      <c r="B672" s="7">
        <v>45938</v>
      </c>
      <c r="C672" s="5">
        <v>8</v>
      </c>
      <c r="D672" s="5">
        <v>49</v>
      </c>
      <c r="E672" s="5">
        <v>15</v>
      </c>
      <c r="F672" s="5">
        <v>2192</v>
      </c>
      <c r="G672" s="5">
        <v>17</v>
      </c>
      <c r="H672" t="str">
        <f t="shared" si="51"/>
        <v>Valid</v>
      </c>
      <c r="I672" t="str">
        <f t="shared" si="52"/>
        <v>Valid</v>
      </c>
      <c r="J672" s="5">
        <f t="shared" si="53"/>
        <v>2175</v>
      </c>
      <c r="K672" s="5">
        <f t="shared" si="54"/>
        <v>2241</v>
      </c>
      <c r="L672" s="5">
        <f>IF(Table1[[#This Row],[Total_System_Load]]&gt;80%*AVERAGE(Table1[Total_System_Load]),Table1[[#This Row],[Total_System_Load]]-Table1[[#This Row],[Total_Children_Under_Care]],0)</f>
        <v>0</v>
      </c>
      <c r="M672" s="5">
        <f t="shared" si="50"/>
        <v>-2</v>
      </c>
      <c r="N672" s="5">
        <f>M673-Table1[[#This Row],[Net_Daily_Intake]]</f>
        <v>3</v>
      </c>
      <c r="O672" s="5">
        <f>M673-Table1[[#This Row],[Net_Daily_Intake]]/Table1[[#This Row],[Net_Daily_Intake]]</f>
        <v>0</v>
      </c>
      <c r="P672" t="str">
        <f>IF(Table1[[#This Row],[Change_in_Net_Daily_Intake]]&gt;0,"Sustained Positive","Negative")</f>
        <v>Sustained Positive</v>
      </c>
      <c r="Q672" s="1">
        <f>(Table1[[#This Row],[Total_System_Load]]-Table1[[#This Row],[Total_Children_Under_Care]])/Table1[[#This Row],[Total_Children_Under_Care]]*100</f>
        <v>3.0344827586206895</v>
      </c>
      <c r="R672" s="1">
        <f>(Table1[[#This Row],[Children_discharged _from_HHS_ Care]]/Table1[[#This Row],[Children_transferred_out_of_CBP_custody]])</f>
        <v>1.1333333333333333</v>
      </c>
    </row>
    <row r="673" spans="1:18" x14ac:dyDescent="0.3">
      <c r="A673">
        <v>672</v>
      </c>
      <c r="B673" s="7">
        <v>45939</v>
      </c>
      <c r="C673" s="5">
        <v>11</v>
      </c>
      <c r="D673" s="5">
        <v>55</v>
      </c>
      <c r="E673" s="5">
        <v>13</v>
      </c>
      <c r="F673" s="5">
        <v>2192</v>
      </c>
      <c r="G673" s="5">
        <v>12</v>
      </c>
      <c r="H673" t="str">
        <f t="shared" si="51"/>
        <v>Valid</v>
      </c>
      <c r="I673" t="str">
        <f t="shared" si="52"/>
        <v>Valid</v>
      </c>
      <c r="J673" s="5">
        <f t="shared" si="53"/>
        <v>2180</v>
      </c>
      <c r="K673" s="5">
        <f t="shared" si="54"/>
        <v>2247</v>
      </c>
      <c r="L673" s="5">
        <f>IF(Table1[[#This Row],[Total_System_Load]]&gt;80%*AVERAGE(Table1[Total_System_Load]),Table1[[#This Row],[Total_System_Load]]-Table1[[#This Row],[Total_Children_Under_Care]],0)</f>
        <v>0</v>
      </c>
      <c r="M673" s="5">
        <f t="shared" si="50"/>
        <v>1</v>
      </c>
      <c r="N673" s="5">
        <f>M674-Table1[[#This Row],[Net_Daily_Intake]]</f>
        <v>0</v>
      </c>
      <c r="O673" s="5">
        <f>M674-Table1[[#This Row],[Net_Daily_Intake]]/Table1[[#This Row],[Net_Daily_Intake]]</f>
        <v>0</v>
      </c>
      <c r="P673" t="str">
        <f>IF(Table1[[#This Row],[Change_in_Net_Daily_Intake]]&gt;0,"Sustained Positive","Negative")</f>
        <v>Negative</v>
      </c>
      <c r="Q673" s="1">
        <f>(Table1[[#This Row],[Total_System_Load]]-Table1[[#This Row],[Total_Children_Under_Care]])/Table1[[#This Row],[Total_Children_Under_Care]]*100</f>
        <v>3.073394495412844</v>
      </c>
      <c r="R673" s="1">
        <f>(Table1[[#This Row],[Children_discharged _from_HHS_ Care]]/Table1[[#This Row],[Children_transferred_out_of_CBP_custody]])</f>
        <v>0.92307692307692313</v>
      </c>
    </row>
    <row r="674" spans="1:18" x14ac:dyDescent="0.3">
      <c r="A674">
        <v>673</v>
      </c>
      <c r="B674" s="7">
        <v>45943</v>
      </c>
      <c r="C674" s="5">
        <v>8</v>
      </c>
      <c r="D674" s="5">
        <v>24</v>
      </c>
      <c r="E674" s="5">
        <v>7</v>
      </c>
      <c r="F674" s="5">
        <v>2223</v>
      </c>
      <c r="G674" s="5">
        <v>6</v>
      </c>
      <c r="H674" t="str">
        <f t="shared" si="51"/>
        <v>Valid</v>
      </c>
      <c r="I674" t="str">
        <f t="shared" si="52"/>
        <v>Valid</v>
      </c>
      <c r="J674" s="5">
        <f t="shared" si="53"/>
        <v>2217</v>
      </c>
      <c r="K674" s="5">
        <f t="shared" si="54"/>
        <v>2247</v>
      </c>
      <c r="L674" s="5">
        <f>IF(Table1[[#This Row],[Total_System_Load]]&gt;80%*AVERAGE(Table1[Total_System_Load]),Table1[[#This Row],[Total_System_Load]]-Table1[[#This Row],[Total_Children_Under_Care]],0)</f>
        <v>0</v>
      </c>
      <c r="M674" s="5">
        <f t="shared" si="50"/>
        <v>1</v>
      </c>
      <c r="N674" s="5">
        <f>M675-Table1[[#This Row],[Net_Daily_Intake]]</f>
        <v>7</v>
      </c>
      <c r="O674" s="5">
        <f>M675-Table1[[#This Row],[Net_Daily_Intake]]/Table1[[#This Row],[Net_Daily_Intake]]</f>
        <v>7</v>
      </c>
      <c r="P674" t="str">
        <f>IF(Table1[[#This Row],[Change_in_Net_Daily_Intake]]&gt;0,"Sustained Positive","Negative")</f>
        <v>Sustained Positive</v>
      </c>
      <c r="Q674" s="1">
        <f>(Table1[[#This Row],[Total_System_Load]]-Table1[[#This Row],[Total_Children_Under_Care]])/Table1[[#This Row],[Total_Children_Under_Care]]*100</f>
        <v>1.3531799729364005</v>
      </c>
      <c r="R674" s="1">
        <f>(Table1[[#This Row],[Children_discharged _from_HHS_ Care]]/Table1[[#This Row],[Children_transferred_out_of_CBP_custody]])</f>
        <v>0.8571428571428571</v>
      </c>
    </row>
    <row r="675" spans="1:18" x14ac:dyDescent="0.3">
      <c r="A675">
        <v>674</v>
      </c>
      <c r="B675" s="7">
        <v>45944</v>
      </c>
      <c r="C675" s="5">
        <v>7</v>
      </c>
      <c r="D675" s="5">
        <v>30</v>
      </c>
      <c r="E675" s="5">
        <v>16</v>
      </c>
      <c r="F675" s="5">
        <v>2235</v>
      </c>
      <c r="G675" s="5">
        <v>8</v>
      </c>
      <c r="H675" t="str">
        <f t="shared" si="51"/>
        <v>Valid</v>
      </c>
      <c r="I675" t="str">
        <f t="shared" si="52"/>
        <v>Valid</v>
      </c>
      <c r="J675" s="5">
        <f t="shared" si="53"/>
        <v>2227</v>
      </c>
      <c r="K675" s="5">
        <f t="shared" si="54"/>
        <v>2265</v>
      </c>
      <c r="L675" s="5">
        <f>IF(Table1[[#This Row],[Total_System_Load]]&gt;80%*AVERAGE(Table1[Total_System_Load]),Table1[[#This Row],[Total_System_Load]]-Table1[[#This Row],[Total_Children_Under_Care]],0)</f>
        <v>0</v>
      </c>
      <c r="M675" s="5">
        <f t="shared" si="50"/>
        <v>8</v>
      </c>
      <c r="N675" s="5">
        <f>M676-Table1[[#This Row],[Net_Daily_Intake]]</f>
        <v>-13</v>
      </c>
      <c r="O675" s="5">
        <f>M676-Table1[[#This Row],[Net_Daily_Intake]]/Table1[[#This Row],[Net_Daily_Intake]]</f>
        <v>-6</v>
      </c>
      <c r="P675" t="str">
        <f>IF(Table1[[#This Row],[Change_in_Net_Daily_Intake]]&gt;0,"Sustained Positive","Negative")</f>
        <v>Negative</v>
      </c>
      <c r="Q675" s="1">
        <f>(Table1[[#This Row],[Total_System_Load]]-Table1[[#This Row],[Total_Children_Under_Care]])/Table1[[#This Row],[Total_Children_Under_Care]]*100</f>
        <v>1.7063313875168389</v>
      </c>
      <c r="R675" s="1">
        <f>(Table1[[#This Row],[Children_discharged _from_HHS_ Care]]/Table1[[#This Row],[Children_transferred_out_of_CBP_custody]])</f>
        <v>0.5</v>
      </c>
    </row>
    <row r="676" spans="1:18" x14ac:dyDescent="0.3">
      <c r="A676">
        <v>675</v>
      </c>
      <c r="B676" s="7">
        <v>45945</v>
      </c>
      <c r="C676" s="5">
        <v>8</v>
      </c>
      <c r="D676" s="5">
        <v>29</v>
      </c>
      <c r="E676" s="5">
        <v>10</v>
      </c>
      <c r="F676" s="5">
        <v>2225</v>
      </c>
      <c r="G676" s="5">
        <v>15</v>
      </c>
      <c r="H676" t="str">
        <f t="shared" si="51"/>
        <v>Valid</v>
      </c>
      <c r="I676" t="str">
        <f t="shared" si="52"/>
        <v>Valid</v>
      </c>
      <c r="J676" s="5">
        <f t="shared" si="53"/>
        <v>2210</v>
      </c>
      <c r="K676" s="5">
        <f t="shared" si="54"/>
        <v>2254</v>
      </c>
      <c r="L676" s="5">
        <f>IF(Table1[[#This Row],[Total_System_Load]]&gt;80%*AVERAGE(Table1[Total_System_Load]),Table1[[#This Row],[Total_System_Load]]-Table1[[#This Row],[Total_Children_Under_Care]],0)</f>
        <v>0</v>
      </c>
      <c r="M676" s="5">
        <f t="shared" si="50"/>
        <v>-5</v>
      </c>
      <c r="N676" s="5">
        <f>M677-Table1[[#This Row],[Net_Daily_Intake]]</f>
        <v>11</v>
      </c>
      <c r="O676" s="5">
        <f>M677-Table1[[#This Row],[Net_Daily_Intake]]/Table1[[#This Row],[Net_Daily_Intake]]</f>
        <v>5</v>
      </c>
      <c r="P676" t="str">
        <f>IF(Table1[[#This Row],[Change_in_Net_Daily_Intake]]&gt;0,"Sustained Positive","Negative")</f>
        <v>Sustained Positive</v>
      </c>
      <c r="Q676" s="1">
        <f>(Table1[[#This Row],[Total_System_Load]]-Table1[[#This Row],[Total_Children_Under_Care]])/Table1[[#This Row],[Total_Children_Under_Care]]*100</f>
        <v>1.9909502262443437</v>
      </c>
      <c r="R676" s="1">
        <f>(Table1[[#This Row],[Children_discharged _from_HHS_ Care]]/Table1[[#This Row],[Children_transferred_out_of_CBP_custody]])</f>
        <v>1.5</v>
      </c>
    </row>
    <row r="677" spans="1:18" x14ac:dyDescent="0.3">
      <c r="A677">
        <v>676</v>
      </c>
      <c r="B677" s="7">
        <v>45946</v>
      </c>
      <c r="C677" s="5">
        <v>9</v>
      </c>
      <c r="D677" s="5">
        <v>33</v>
      </c>
      <c r="E677" s="5">
        <v>15</v>
      </c>
      <c r="F677" s="5">
        <v>2233</v>
      </c>
      <c r="G677" s="5">
        <v>9</v>
      </c>
      <c r="H677" t="str">
        <f t="shared" si="51"/>
        <v>Valid</v>
      </c>
      <c r="I677" t="str">
        <f t="shared" si="52"/>
        <v>Valid</v>
      </c>
      <c r="J677" s="5">
        <f t="shared" si="53"/>
        <v>2224</v>
      </c>
      <c r="K677" s="5">
        <f t="shared" si="54"/>
        <v>2266</v>
      </c>
      <c r="L677" s="5">
        <f>IF(Table1[[#This Row],[Total_System_Load]]&gt;80%*AVERAGE(Table1[Total_System_Load]),Table1[[#This Row],[Total_System_Load]]-Table1[[#This Row],[Total_Children_Under_Care]],0)</f>
        <v>0</v>
      </c>
      <c r="M677" s="5">
        <f t="shared" si="50"/>
        <v>6</v>
      </c>
      <c r="N677" s="5">
        <f>M678-Table1[[#This Row],[Net_Daily_Intake]]</f>
        <v>4</v>
      </c>
      <c r="O677" s="5">
        <f>M678-Table1[[#This Row],[Net_Daily_Intake]]/Table1[[#This Row],[Net_Daily_Intake]]</f>
        <v>9</v>
      </c>
      <c r="P677" t="str">
        <f>IF(Table1[[#This Row],[Change_in_Net_Daily_Intake]]&gt;0,"Sustained Positive","Negative")</f>
        <v>Sustained Positive</v>
      </c>
      <c r="Q677" s="1">
        <f>(Table1[[#This Row],[Total_System_Load]]-Table1[[#This Row],[Total_Children_Under_Care]])/Table1[[#This Row],[Total_Children_Under_Care]]*100</f>
        <v>1.8884892086330936</v>
      </c>
      <c r="R677" s="1">
        <f>(Table1[[#This Row],[Children_discharged _from_HHS_ Care]]/Table1[[#This Row],[Children_transferred_out_of_CBP_custody]])</f>
        <v>0.6</v>
      </c>
    </row>
    <row r="678" spans="1:18" x14ac:dyDescent="0.3">
      <c r="A678">
        <v>677</v>
      </c>
      <c r="B678" s="7">
        <v>45949</v>
      </c>
      <c r="C678" s="5">
        <v>9</v>
      </c>
      <c r="D678" s="5">
        <v>34</v>
      </c>
      <c r="E678" s="5">
        <v>17</v>
      </c>
      <c r="F678" s="5">
        <v>2237</v>
      </c>
      <c r="G678" s="5">
        <v>7</v>
      </c>
      <c r="H678" t="str">
        <f t="shared" si="51"/>
        <v>Valid</v>
      </c>
      <c r="I678" t="str">
        <f t="shared" si="52"/>
        <v>Valid</v>
      </c>
      <c r="J678" s="5">
        <f t="shared" si="53"/>
        <v>2230</v>
      </c>
      <c r="K678" s="5">
        <f t="shared" si="54"/>
        <v>2271</v>
      </c>
      <c r="L678" s="5">
        <f>IF(Table1[[#This Row],[Total_System_Load]]&gt;80%*AVERAGE(Table1[Total_System_Load]),Table1[[#This Row],[Total_System_Load]]-Table1[[#This Row],[Total_Children_Under_Care]],0)</f>
        <v>0</v>
      </c>
      <c r="M678" s="5">
        <f t="shared" si="50"/>
        <v>10</v>
      </c>
      <c r="N678" s="5">
        <f>M679-Table1[[#This Row],[Net_Daily_Intake]]</f>
        <v>-11</v>
      </c>
      <c r="O678" s="5">
        <f>M679-Table1[[#This Row],[Net_Daily_Intake]]/Table1[[#This Row],[Net_Daily_Intake]]</f>
        <v>-2</v>
      </c>
      <c r="P678" t="str">
        <f>IF(Table1[[#This Row],[Change_in_Net_Daily_Intake]]&gt;0,"Sustained Positive","Negative")</f>
        <v>Negative</v>
      </c>
      <c r="Q678" s="1">
        <f>(Table1[[#This Row],[Total_System_Load]]-Table1[[#This Row],[Total_Children_Under_Care]])/Table1[[#This Row],[Total_Children_Under_Care]]*100</f>
        <v>1.8385650224215246</v>
      </c>
      <c r="R678" s="1">
        <f>(Table1[[#This Row],[Children_discharged _from_HHS_ Care]]/Table1[[#This Row],[Children_transferred_out_of_CBP_custody]])</f>
        <v>0.41176470588235292</v>
      </c>
    </row>
    <row r="679" spans="1:18" x14ac:dyDescent="0.3">
      <c r="A679">
        <v>678</v>
      </c>
      <c r="B679" s="7">
        <v>45950</v>
      </c>
      <c r="C679" s="5">
        <v>10</v>
      </c>
      <c r="D679" s="5">
        <v>39</v>
      </c>
      <c r="E679" s="5">
        <v>6</v>
      </c>
      <c r="F679" s="5">
        <v>2243</v>
      </c>
      <c r="G679" s="5">
        <v>7</v>
      </c>
      <c r="H679" t="str">
        <f t="shared" si="51"/>
        <v>Valid</v>
      </c>
      <c r="I679" t="str">
        <f t="shared" si="52"/>
        <v>Valid</v>
      </c>
      <c r="J679" s="5">
        <f t="shared" si="53"/>
        <v>2236</v>
      </c>
      <c r="K679" s="5">
        <f t="shared" si="54"/>
        <v>2282</v>
      </c>
      <c r="L679" s="5">
        <f>IF(Table1[[#This Row],[Total_System_Load]]&gt;80%*AVERAGE(Table1[Total_System_Load]),Table1[[#This Row],[Total_System_Load]]-Table1[[#This Row],[Total_Children_Under_Care]],0)</f>
        <v>0</v>
      </c>
      <c r="M679" s="5">
        <f t="shared" si="50"/>
        <v>-1</v>
      </c>
      <c r="N679" s="5">
        <f>M680-Table1[[#This Row],[Net_Daily_Intake]]</f>
        <v>9</v>
      </c>
      <c r="O679" s="5">
        <f>M680-Table1[[#This Row],[Net_Daily_Intake]]/Table1[[#This Row],[Net_Daily_Intake]]</f>
        <v>7</v>
      </c>
      <c r="P679" t="str">
        <f>IF(Table1[[#This Row],[Change_in_Net_Daily_Intake]]&gt;0,"Sustained Positive","Negative")</f>
        <v>Sustained Positive</v>
      </c>
      <c r="Q679" s="1">
        <f>(Table1[[#This Row],[Total_System_Load]]-Table1[[#This Row],[Total_Children_Under_Care]])/Table1[[#This Row],[Total_Children_Under_Care]]*100</f>
        <v>2.0572450805008944</v>
      </c>
      <c r="R679" s="1">
        <f>(Table1[[#This Row],[Children_discharged _from_HHS_ Care]]/Table1[[#This Row],[Children_transferred_out_of_CBP_custody]])</f>
        <v>1.1666666666666667</v>
      </c>
    </row>
    <row r="680" spans="1:18" x14ac:dyDescent="0.3">
      <c r="A680">
        <v>679</v>
      </c>
      <c r="B680" s="7">
        <v>45951</v>
      </c>
      <c r="C680" s="5">
        <v>13</v>
      </c>
      <c r="D680" s="5">
        <v>39</v>
      </c>
      <c r="E680" s="5">
        <v>17</v>
      </c>
      <c r="F680" s="5">
        <v>2251</v>
      </c>
      <c r="G680" s="5">
        <v>9</v>
      </c>
      <c r="H680" t="str">
        <f t="shared" si="51"/>
        <v>Valid</v>
      </c>
      <c r="I680" t="str">
        <f t="shared" si="52"/>
        <v>Valid</v>
      </c>
      <c r="J680" s="5">
        <f t="shared" si="53"/>
        <v>2242</v>
      </c>
      <c r="K680" s="5">
        <f t="shared" si="54"/>
        <v>2290</v>
      </c>
      <c r="L680" s="5">
        <f>IF(Table1[[#This Row],[Total_System_Load]]&gt;80%*AVERAGE(Table1[Total_System_Load]),Table1[[#This Row],[Total_System_Load]]-Table1[[#This Row],[Total_Children_Under_Care]],0)</f>
        <v>0</v>
      </c>
      <c r="M680" s="5">
        <f t="shared" si="50"/>
        <v>8</v>
      </c>
      <c r="N680" s="5">
        <f>M681-Table1[[#This Row],[Net_Daily_Intake]]</f>
        <v>-7</v>
      </c>
      <c r="O680" s="5">
        <f>M681-Table1[[#This Row],[Net_Daily_Intake]]/Table1[[#This Row],[Net_Daily_Intake]]</f>
        <v>0</v>
      </c>
      <c r="P680" t="str">
        <f>IF(Table1[[#This Row],[Change_in_Net_Daily_Intake]]&gt;0,"Sustained Positive","Negative")</f>
        <v>Negative</v>
      </c>
      <c r="Q680" s="1">
        <f>(Table1[[#This Row],[Total_System_Load]]-Table1[[#This Row],[Total_Children_Under_Care]])/Table1[[#This Row],[Total_Children_Under_Care]]*100</f>
        <v>2.140945584299732</v>
      </c>
      <c r="R680" s="1">
        <f>(Table1[[#This Row],[Children_discharged _from_HHS_ Care]]/Table1[[#This Row],[Children_transferred_out_of_CBP_custody]])</f>
        <v>0.52941176470588236</v>
      </c>
    </row>
    <row r="681" spans="1:18" x14ac:dyDescent="0.3">
      <c r="A681">
        <v>680</v>
      </c>
      <c r="B681" s="7">
        <v>45952</v>
      </c>
      <c r="C681" s="5">
        <v>12</v>
      </c>
      <c r="D681" s="5">
        <v>42</v>
      </c>
      <c r="E681" s="5">
        <v>13</v>
      </c>
      <c r="F681" s="5">
        <v>2261</v>
      </c>
      <c r="G681" s="5">
        <v>12</v>
      </c>
      <c r="H681" t="str">
        <f t="shared" si="51"/>
        <v>Valid</v>
      </c>
      <c r="I681" t="str">
        <f t="shared" si="52"/>
        <v>Valid</v>
      </c>
      <c r="J681" s="5">
        <f t="shared" si="53"/>
        <v>2249</v>
      </c>
      <c r="K681" s="5">
        <f t="shared" si="54"/>
        <v>2303</v>
      </c>
      <c r="L681" s="5">
        <f>IF(Table1[[#This Row],[Total_System_Load]]&gt;80%*AVERAGE(Table1[Total_System_Load]),Table1[[#This Row],[Total_System_Load]]-Table1[[#This Row],[Total_Children_Under_Care]],0)</f>
        <v>0</v>
      </c>
      <c r="M681" s="5">
        <f t="shared" si="50"/>
        <v>1</v>
      </c>
      <c r="N681" s="5">
        <f>M682-Table1[[#This Row],[Net_Daily_Intake]]</f>
        <v>7</v>
      </c>
      <c r="O681" s="5">
        <f>M682-Table1[[#This Row],[Net_Daily_Intake]]/Table1[[#This Row],[Net_Daily_Intake]]</f>
        <v>7</v>
      </c>
      <c r="P681" t="str">
        <f>IF(Table1[[#This Row],[Change_in_Net_Daily_Intake]]&gt;0,"Sustained Positive","Negative")</f>
        <v>Sustained Positive</v>
      </c>
      <c r="Q681" s="1">
        <f>(Table1[[#This Row],[Total_System_Load]]-Table1[[#This Row],[Total_Children_Under_Care]])/Table1[[#This Row],[Total_Children_Under_Care]]*100</f>
        <v>2.4010671409515338</v>
      </c>
      <c r="R681" s="1">
        <f>(Table1[[#This Row],[Children_discharged _from_HHS_ Care]]/Table1[[#This Row],[Children_transferred_out_of_CBP_custody]])</f>
        <v>0.92307692307692313</v>
      </c>
    </row>
    <row r="682" spans="1:18" x14ac:dyDescent="0.3">
      <c r="A682">
        <v>681</v>
      </c>
      <c r="B682" s="7">
        <v>45953</v>
      </c>
      <c r="C682" s="5">
        <v>4</v>
      </c>
      <c r="D682" s="5">
        <v>27</v>
      </c>
      <c r="E682" s="5">
        <v>26</v>
      </c>
      <c r="F682" s="5">
        <v>2266</v>
      </c>
      <c r="G682" s="5">
        <v>18</v>
      </c>
      <c r="H682" t="str">
        <f t="shared" si="51"/>
        <v>Valid</v>
      </c>
      <c r="I682" t="str">
        <f t="shared" si="52"/>
        <v>Valid</v>
      </c>
      <c r="J682" s="5">
        <f t="shared" si="53"/>
        <v>2248</v>
      </c>
      <c r="K682" s="5">
        <f t="shared" si="54"/>
        <v>2293</v>
      </c>
      <c r="L682" s="5">
        <f>IF(Table1[[#This Row],[Total_System_Load]]&gt;80%*AVERAGE(Table1[Total_System_Load]),Table1[[#This Row],[Total_System_Load]]-Table1[[#This Row],[Total_Children_Under_Care]],0)</f>
        <v>0</v>
      </c>
      <c r="M682" s="5">
        <f t="shared" si="50"/>
        <v>8</v>
      </c>
      <c r="N682" s="5">
        <f>M683-Table1[[#This Row],[Net_Daily_Intake]]</f>
        <v>-6</v>
      </c>
      <c r="O682" s="5">
        <f>M683-Table1[[#This Row],[Net_Daily_Intake]]/Table1[[#This Row],[Net_Daily_Intake]]</f>
        <v>1</v>
      </c>
      <c r="P682" t="str">
        <f>IF(Table1[[#This Row],[Change_in_Net_Daily_Intake]]&gt;0,"Sustained Positive","Negative")</f>
        <v>Negative</v>
      </c>
      <c r="Q682" s="1">
        <f>(Table1[[#This Row],[Total_System_Load]]-Table1[[#This Row],[Total_Children_Under_Care]])/Table1[[#This Row],[Total_Children_Under_Care]]*100</f>
        <v>2.0017793594306053</v>
      </c>
      <c r="R682" s="1">
        <f>(Table1[[#This Row],[Children_discharged _from_HHS_ Care]]/Table1[[#This Row],[Children_transferred_out_of_CBP_custody]])</f>
        <v>0.69230769230769229</v>
      </c>
    </row>
    <row r="683" spans="1:18" x14ac:dyDescent="0.3">
      <c r="A683">
        <v>682</v>
      </c>
      <c r="B683" s="7">
        <v>45956</v>
      </c>
      <c r="C683" s="5">
        <v>4</v>
      </c>
      <c r="D683" s="5">
        <v>35</v>
      </c>
      <c r="E683" s="5">
        <v>12</v>
      </c>
      <c r="F683" s="5">
        <v>2276</v>
      </c>
      <c r="G683" s="5">
        <v>10</v>
      </c>
      <c r="H683" t="str">
        <f t="shared" si="51"/>
        <v>Valid</v>
      </c>
      <c r="I683" t="str">
        <f t="shared" si="52"/>
        <v>Valid</v>
      </c>
      <c r="J683" s="5">
        <f t="shared" si="53"/>
        <v>2266</v>
      </c>
      <c r="K683" s="5">
        <f t="shared" si="54"/>
        <v>2311</v>
      </c>
      <c r="L683" s="5">
        <f>IF(Table1[[#This Row],[Total_System_Load]]&gt;80%*AVERAGE(Table1[Total_System_Load]),Table1[[#This Row],[Total_System_Load]]-Table1[[#This Row],[Total_Children_Under_Care]],0)</f>
        <v>0</v>
      </c>
      <c r="M683" s="5">
        <f t="shared" si="50"/>
        <v>2</v>
      </c>
      <c r="N683" s="5">
        <f>M684-Table1[[#This Row],[Net_Daily_Intake]]</f>
        <v>-5</v>
      </c>
      <c r="O683" s="5">
        <f>M684-Table1[[#This Row],[Net_Daily_Intake]]/Table1[[#This Row],[Net_Daily_Intake]]</f>
        <v>-4</v>
      </c>
      <c r="P683" t="str">
        <f>IF(Table1[[#This Row],[Change_in_Net_Daily_Intake]]&gt;0,"Sustained Positive","Negative")</f>
        <v>Negative</v>
      </c>
      <c r="Q683" s="1">
        <f>(Table1[[#This Row],[Total_System_Load]]-Table1[[#This Row],[Total_Children_Under_Care]])/Table1[[#This Row],[Total_Children_Under_Care]]*100</f>
        <v>1.9858781994704324</v>
      </c>
      <c r="R683" s="1">
        <f>(Table1[[#This Row],[Children_discharged _from_HHS_ Care]]/Table1[[#This Row],[Children_transferred_out_of_CBP_custody]])</f>
        <v>0.83333333333333337</v>
      </c>
    </row>
    <row r="684" spans="1:18" x14ac:dyDescent="0.3">
      <c r="A684">
        <v>683</v>
      </c>
      <c r="B684" s="7">
        <v>45957</v>
      </c>
      <c r="C684" s="5">
        <v>2</v>
      </c>
      <c r="D684" s="5">
        <v>31</v>
      </c>
      <c r="E684" s="5">
        <v>8</v>
      </c>
      <c r="F684" s="5">
        <v>2282</v>
      </c>
      <c r="G684" s="5">
        <v>11</v>
      </c>
      <c r="H684" t="str">
        <f t="shared" si="51"/>
        <v>Valid</v>
      </c>
      <c r="I684" t="str">
        <f t="shared" si="52"/>
        <v>Valid</v>
      </c>
      <c r="J684" s="5">
        <f t="shared" si="53"/>
        <v>2271</v>
      </c>
      <c r="K684" s="5">
        <f t="shared" si="54"/>
        <v>2313</v>
      </c>
      <c r="L684" s="5">
        <f>IF(Table1[[#This Row],[Total_System_Load]]&gt;80%*AVERAGE(Table1[Total_System_Load]),Table1[[#This Row],[Total_System_Load]]-Table1[[#This Row],[Total_Children_Under_Care]],0)</f>
        <v>0</v>
      </c>
      <c r="M684" s="5">
        <f t="shared" si="50"/>
        <v>-3</v>
      </c>
      <c r="N684" s="5">
        <f>M685-Table1[[#This Row],[Net_Daily_Intake]]</f>
        <v>8</v>
      </c>
      <c r="O684" s="5">
        <f>M685-Table1[[#This Row],[Net_Daily_Intake]]/Table1[[#This Row],[Net_Daily_Intake]]</f>
        <v>4</v>
      </c>
      <c r="P684" t="str">
        <f>IF(Table1[[#This Row],[Change_in_Net_Daily_Intake]]&gt;0,"Sustained Positive","Negative")</f>
        <v>Sustained Positive</v>
      </c>
      <c r="Q684" s="1">
        <f>(Table1[[#This Row],[Total_System_Load]]-Table1[[#This Row],[Total_Children_Under_Care]])/Table1[[#This Row],[Total_Children_Under_Care]]*100</f>
        <v>1.8494055482166447</v>
      </c>
      <c r="R684" s="1">
        <f>(Table1[[#This Row],[Children_discharged _from_HHS_ Care]]/Table1[[#This Row],[Children_transferred_out_of_CBP_custody]])</f>
        <v>1.375</v>
      </c>
    </row>
    <row r="685" spans="1:18" x14ac:dyDescent="0.3">
      <c r="A685">
        <v>684</v>
      </c>
      <c r="B685" s="7">
        <v>45958</v>
      </c>
      <c r="C685" s="5">
        <v>6</v>
      </c>
      <c r="D685" s="5">
        <v>22</v>
      </c>
      <c r="E685" s="5">
        <v>11</v>
      </c>
      <c r="F685" s="5">
        <v>2286</v>
      </c>
      <c r="G685" s="5">
        <v>6</v>
      </c>
      <c r="H685" t="str">
        <f t="shared" si="51"/>
        <v>Valid</v>
      </c>
      <c r="I685" t="str">
        <f t="shared" si="52"/>
        <v>Valid</v>
      </c>
      <c r="J685" s="5">
        <f t="shared" si="53"/>
        <v>2280</v>
      </c>
      <c r="K685" s="5">
        <f t="shared" si="54"/>
        <v>2308</v>
      </c>
      <c r="L685" s="5">
        <f>IF(Table1[[#This Row],[Total_System_Load]]&gt;80%*AVERAGE(Table1[Total_System_Load]),Table1[[#This Row],[Total_System_Load]]-Table1[[#This Row],[Total_Children_Under_Care]],0)</f>
        <v>0</v>
      </c>
      <c r="M685" s="5">
        <f t="shared" si="50"/>
        <v>5</v>
      </c>
      <c r="N685" s="5">
        <f>M686-Table1[[#This Row],[Net_Daily_Intake]]</f>
        <v>-18</v>
      </c>
      <c r="O685" s="5">
        <f>M686-Table1[[#This Row],[Net_Daily_Intake]]/Table1[[#This Row],[Net_Daily_Intake]]</f>
        <v>-14</v>
      </c>
      <c r="P685" t="str">
        <f>IF(Table1[[#This Row],[Change_in_Net_Daily_Intake]]&gt;0,"Sustained Positive","Negative")</f>
        <v>Negative</v>
      </c>
      <c r="Q685" s="1">
        <f>(Table1[[#This Row],[Total_System_Load]]-Table1[[#This Row],[Total_Children_Under_Care]])/Table1[[#This Row],[Total_Children_Under_Care]]*100</f>
        <v>1.2280701754385965</v>
      </c>
      <c r="R685" s="1">
        <f>(Table1[[#This Row],[Children_discharged _from_HHS_ Care]]/Table1[[#This Row],[Children_transferred_out_of_CBP_custody]])</f>
        <v>0.54545454545454541</v>
      </c>
    </row>
    <row r="686" spans="1:18" x14ac:dyDescent="0.3">
      <c r="A686">
        <v>685</v>
      </c>
      <c r="B686" s="7">
        <v>45959</v>
      </c>
      <c r="C686" s="5">
        <v>6</v>
      </c>
      <c r="D686" s="5">
        <v>25</v>
      </c>
      <c r="E686" s="5">
        <v>4</v>
      </c>
      <c r="F686" s="5">
        <v>2280</v>
      </c>
      <c r="G686" s="5">
        <v>17</v>
      </c>
      <c r="H686" t="str">
        <f t="shared" si="51"/>
        <v>Valid</v>
      </c>
      <c r="I686" t="str">
        <f t="shared" si="52"/>
        <v>Valid</v>
      </c>
      <c r="J686" s="5">
        <f t="shared" si="53"/>
        <v>2263</v>
      </c>
      <c r="K686" s="5">
        <f t="shared" si="54"/>
        <v>2305</v>
      </c>
      <c r="L686" s="5">
        <f>IF(Table1[[#This Row],[Total_System_Load]]&gt;80%*AVERAGE(Table1[Total_System_Load]),Table1[[#This Row],[Total_System_Load]]-Table1[[#This Row],[Total_Children_Under_Care]],0)</f>
        <v>0</v>
      </c>
      <c r="M686" s="5">
        <f t="shared" si="50"/>
        <v>-13</v>
      </c>
      <c r="N686" s="5">
        <f>M687-Table1[[#This Row],[Net_Daily_Intake]]</f>
        <v>15</v>
      </c>
      <c r="O686" s="5">
        <f>M687-Table1[[#This Row],[Net_Daily_Intake]]/Table1[[#This Row],[Net_Daily_Intake]]</f>
        <v>1</v>
      </c>
      <c r="P686" t="str">
        <f>IF(Table1[[#This Row],[Change_in_Net_Daily_Intake]]&gt;0,"Sustained Positive","Negative")</f>
        <v>Sustained Positive</v>
      </c>
      <c r="Q686" s="1">
        <f>(Table1[[#This Row],[Total_System_Load]]-Table1[[#This Row],[Total_Children_Under_Care]])/Table1[[#This Row],[Total_Children_Under_Care]]*100</f>
        <v>1.8559434379142732</v>
      </c>
      <c r="R686" s="1">
        <f>(Table1[[#This Row],[Children_discharged _from_HHS_ Care]]/Table1[[#This Row],[Children_transferred_out_of_CBP_custody]])</f>
        <v>4.25</v>
      </c>
    </row>
    <row r="687" spans="1:18" x14ac:dyDescent="0.3">
      <c r="A687">
        <v>686</v>
      </c>
      <c r="B687" s="7">
        <v>45960</v>
      </c>
      <c r="C687" s="5">
        <v>3</v>
      </c>
      <c r="D687" s="5">
        <v>17</v>
      </c>
      <c r="E687" s="5">
        <v>14</v>
      </c>
      <c r="F687" s="5">
        <v>2287</v>
      </c>
      <c r="G687" s="5">
        <v>12</v>
      </c>
      <c r="H687" t="str">
        <f t="shared" si="51"/>
        <v>Valid</v>
      </c>
      <c r="I687" t="str">
        <f t="shared" si="52"/>
        <v>Valid</v>
      </c>
      <c r="J687" s="5">
        <f t="shared" si="53"/>
        <v>2275</v>
      </c>
      <c r="K687" s="5">
        <f t="shared" si="54"/>
        <v>2304</v>
      </c>
      <c r="L687" s="5">
        <f>IF(Table1[[#This Row],[Total_System_Load]]&gt;80%*AVERAGE(Table1[Total_System_Load]),Table1[[#This Row],[Total_System_Load]]-Table1[[#This Row],[Total_Children_Under_Care]],0)</f>
        <v>0</v>
      </c>
      <c r="M687" s="5">
        <f t="shared" si="50"/>
        <v>2</v>
      </c>
      <c r="N687" s="5">
        <f>M688-Table1[[#This Row],[Net_Daily_Intake]]</f>
        <v>1</v>
      </c>
      <c r="O687" s="5">
        <f>M688-Table1[[#This Row],[Net_Daily_Intake]]/Table1[[#This Row],[Net_Daily_Intake]]</f>
        <v>2</v>
      </c>
      <c r="P687" t="str">
        <f>IF(Table1[[#This Row],[Change_in_Net_Daily_Intake]]&gt;0,"Sustained Positive","Negative")</f>
        <v>Sustained Positive</v>
      </c>
      <c r="Q687" s="1">
        <f>(Table1[[#This Row],[Total_System_Load]]-Table1[[#This Row],[Total_Children_Under_Care]])/Table1[[#This Row],[Total_Children_Under_Care]]*100</f>
        <v>1.2747252747252749</v>
      </c>
      <c r="R687" s="1">
        <f>(Table1[[#This Row],[Children_discharged _from_HHS_ Care]]/Table1[[#This Row],[Children_transferred_out_of_CBP_custody]])</f>
        <v>0.8571428571428571</v>
      </c>
    </row>
    <row r="688" spans="1:18" x14ac:dyDescent="0.3">
      <c r="A688">
        <v>687</v>
      </c>
      <c r="B688" s="7">
        <v>45963</v>
      </c>
      <c r="C688" s="5">
        <v>5</v>
      </c>
      <c r="D688" s="5">
        <v>21</v>
      </c>
      <c r="E688" s="5">
        <v>10</v>
      </c>
      <c r="F688" s="5">
        <v>2277</v>
      </c>
      <c r="G688" s="5">
        <v>7</v>
      </c>
      <c r="H688" t="str">
        <f t="shared" si="51"/>
        <v>Valid</v>
      </c>
      <c r="I688" t="str">
        <f t="shared" si="52"/>
        <v>Valid</v>
      </c>
      <c r="J688" s="5">
        <f t="shared" si="53"/>
        <v>2270</v>
      </c>
      <c r="K688" s="5">
        <f t="shared" si="54"/>
        <v>2298</v>
      </c>
      <c r="L688" s="5">
        <f>IF(Table1[[#This Row],[Total_System_Load]]&gt;80%*AVERAGE(Table1[Total_System_Load]),Table1[[#This Row],[Total_System_Load]]-Table1[[#This Row],[Total_Children_Under_Care]],0)</f>
        <v>0</v>
      </c>
      <c r="M688" s="5">
        <f t="shared" si="50"/>
        <v>3</v>
      </c>
      <c r="N688" s="5">
        <f>M689-Table1[[#This Row],[Net_Daily_Intake]]</f>
        <v>-10</v>
      </c>
      <c r="O688" s="5">
        <f>M689-Table1[[#This Row],[Net_Daily_Intake]]/Table1[[#This Row],[Net_Daily_Intake]]</f>
        <v>-8</v>
      </c>
      <c r="P688" t="str">
        <f>IF(Table1[[#This Row],[Change_in_Net_Daily_Intake]]&gt;0,"Sustained Positive","Negative")</f>
        <v>Negative</v>
      </c>
      <c r="Q688" s="1">
        <f>(Table1[[#This Row],[Total_System_Load]]-Table1[[#This Row],[Total_Children_Under_Care]])/Table1[[#This Row],[Total_Children_Under_Care]]*100</f>
        <v>1.2334801762114538</v>
      </c>
      <c r="R688" s="1">
        <f>(Table1[[#This Row],[Children_discharged _from_HHS_ Care]]/Table1[[#This Row],[Children_transferred_out_of_CBP_custody]])</f>
        <v>0.7</v>
      </c>
    </row>
    <row r="689" spans="1:18" x14ac:dyDescent="0.3">
      <c r="A689">
        <v>688</v>
      </c>
      <c r="B689" s="7">
        <v>45964</v>
      </c>
      <c r="C689" s="5">
        <v>3</v>
      </c>
      <c r="D689" s="5">
        <v>28</v>
      </c>
      <c r="E689" s="5">
        <v>5</v>
      </c>
      <c r="F689" s="5">
        <v>2269</v>
      </c>
      <c r="G689" s="5">
        <v>12</v>
      </c>
      <c r="H689" t="str">
        <f t="shared" si="51"/>
        <v>Valid</v>
      </c>
      <c r="I689" t="str">
        <f t="shared" si="52"/>
        <v>Valid</v>
      </c>
      <c r="J689" s="5">
        <f t="shared" si="53"/>
        <v>2257</v>
      </c>
      <c r="K689" s="5">
        <f t="shared" si="54"/>
        <v>2297</v>
      </c>
      <c r="L689" s="5">
        <f>IF(Table1[[#This Row],[Total_System_Load]]&gt;80%*AVERAGE(Table1[Total_System_Load]),Table1[[#This Row],[Total_System_Load]]-Table1[[#This Row],[Total_Children_Under_Care]],0)</f>
        <v>0</v>
      </c>
      <c r="M689" s="5">
        <f t="shared" si="50"/>
        <v>-7</v>
      </c>
      <c r="N689" s="5">
        <f>M690-Table1[[#This Row],[Net_Daily_Intake]]</f>
        <v>5</v>
      </c>
      <c r="O689" s="5">
        <f>M690-Table1[[#This Row],[Net_Daily_Intake]]/Table1[[#This Row],[Net_Daily_Intake]]</f>
        <v>-3</v>
      </c>
      <c r="P689" t="str">
        <f>IF(Table1[[#This Row],[Change_in_Net_Daily_Intake]]&gt;0,"Sustained Positive","Negative")</f>
        <v>Sustained Positive</v>
      </c>
      <c r="Q689" s="1">
        <f>(Table1[[#This Row],[Total_System_Load]]-Table1[[#This Row],[Total_Children_Under_Care]])/Table1[[#This Row],[Total_Children_Under_Care]]*100</f>
        <v>1.7722640673460344</v>
      </c>
      <c r="R689" s="1">
        <f>(Table1[[#This Row],[Children_discharged _from_HHS_ Care]]/Table1[[#This Row],[Children_transferred_out_of_CBP_custody]])</f>
        <v>2.4</v>
      </c>
    </row>
    <row r="690" spans="1:18" x14ac:dyDescent="0.3">
      <c r="A690">
        <v>689</v>
      </c>
      <c r="B690" s="7">
        <v>45965</v>
      </c>
      <c r="C690" s="5">
        <v>6</v>
      </c>
      <c r="D690" s="5">
        <v>33</v>
      </c>
      <c r="E690" s="5">
        <v>6</v>
      </c>
      <c r="F690" s="5">
        <v>2270</v>
      </c>
      <c r="G690" s="5">
        <v>8</v>
      </c>
      <c r="H690" t="str">
        <f t="shared" si="51"/>
        <v>Valid</v>
      </c>
      <c r="I690" t="str">
        <f t="shared" si="52"/>
        <v>Valid</v>
      </c>
      <c r="J690" s="5">
        <f t="shared" si="53"/>
        <v>2262</v>
      </c>
      <c r="K690" s="5">
        <f t="shared" si="54"/>
        <v>2303</v>
      </c>
      <c r="L690" s="5">
        <f>IF(Table1[[#This Row],[Total_System_Load]]&gt;80%*AVERAGE(Table1[Total_System_Load]),Table1[[#This Row],[Total_System_Load]]-Table1[[#This Row],[Total_Children_Under_Care]],0)</f>
        <v>0</v>
      </c>
      <c r="M690" s="5">
        <f t="shared" si="50"/>
        <v>-2</v>
      </c>
      <c r="N690" s="5">
        <f>M691-Table1[[#This Row],[Net_Daily_Intake]]</f>
        <v>3</v>
      </c>
      <c r="O690" s="5">
        <f>M691-Table1[[#This Row],[Net_Daily_Intake]]/Table1[[#This Row],[Net_Daily_Intake]]</f>
        <v>0</v>
      </c>
      <c r="P690" t="str">
        <f>IF(Table1[[#This Row],[Change_in_Net_Daily_Intake]]&gt;0,"Sustained Positive","Negative")</f>
        <v>Sustained Positive</v>
      </c>
      <c r="Q690" s="1">
        <f>(Table1[[#This Row],[Total_System_Load]]-Table1[[#This Row],[Total_Children_Under_Care]])/Table1[[#This Row],[Total_Children_Under_Care]]*100</f>
        <v>1.8125552608311228</v>
      </c>
      <c r="R690" s="1">
        <f>(Table1[[#This Row],[Children_discharged _from_HHS_ Care]]/Table1[[#This Row],[Children_transferred_out_of_CBP_custody]])</f>
        <v>1.3333333333333333</v>
      </c>
    </row>
    <row r="691" spans="1:18" x14ac:dyDescent="0.3">
      <c r="A691">
        <v>690</v>
      </c>
      <c r="B691" s="7">
        <v>45966</v>
      </c>
      <c r="C691" s="5">
        <v>8</v>
      </c>
      <c r="D691" s="5">
        <v>41</v>
      </c>
      <c r="E691" s="5">
        <v>8</v>
      </c>
      <c r="F691" s="5">
        <v>2272</v>
      </c>
      <c r="G691" s="5">
        <v>7</v>
      </c>
      <c r="H691" t="str">
        <f t="shared" si="51"/>
        <v>Valid</v>
      </c>
      <c r="I691" t="str">
        <f t="shared" si="52"/>
        <v>Valid</v>
      </c>
      <c r="J691" s="5">
        <f t="shared" si="53"/>
        <v>2265</v>
      </c>
      <c r="K691" s="5">
        <f t="shared" si="54"/>
        <v>2313</v>
      </c>
      <c r="L691" s="5">
        <f>IF(Table1[[#This Row],[Total_System_Load]]&gt;80%*AVERAGE(Table1[Total_System_Load]),Table1[[#This Row],[Total_System_Load]]-Table1[[#This Row],[Total_Children_Under_Care]],0)</f>
        <v>0</v>
      </c>
      <c r="M691" s="5">
        <f t="shared" si="50"/>
        <v>1</v>
      </c>
      <c r="N691" s="5">
        <f>M692-Table1[[#This Row],[Net_Daily_Intake]]</f>
        <v>-11</v>
      </c>
      <c r="O691" s="5">
        <f>M692-Table1[[#This Row],[Net_Daily_Intake]]/Table1[[#This Row],[Net_Daily_Intake]]</f>
        <v>-11</v>
      </c>
      <c r="P691" t="str">
        <f>IF(Table1[[#This Row],[Change_in_Net_Daily_Intake]]&gt;0,"Sustained Positive","Negative")</f>
        <v>Negative</v>
      </c>
      <c r="Q691" s="1">
        <f>(Table1[[#This Row],[Total_System_Load]]-Table1[[#This Row],[Total_Children_Under_Care]])/Table1[[#This Row],[Total_Children_Under_Care]]*100</f>
        <v>2.1192052980132452</v>
      </c>
      <c r="R691" s="1">
        <f>(Table1[[#This Row],[Children_discharged _from_HHS_ Care]]/Table1[[#This Row],[Children_transferred_out_of_CBP_custody]])</f>
        <v>0.875</v>
      </c>
    </row>
    <row r="692" spans="1:18" x14ac:dyDescent="0.3">
      <c r="A692">
        <v>691</v>
      </c>
      <c r="B692" s="7">
        <v>45967</v>
      </c>
      <c r="C692" s="5">
        <v>6</v>
      </c>
      <c r="D692" s="5">
        <v>33</v>
      </c>
      <c r="E692" s="5">
        <v>9</v>
      </c>
      <c r="F692" s="5">
        <v>2264</v>
      </c>
      <c r="G692" s="5">
        <v>19</v>
      </c>
      <c r="H692" t="str">
        <f t="shared" si="51"/>
        <v>Valid</v>
      </c>
      <c r="I692" t="str">
        <f t="shared" si="52"/>
        <v>Valid</v>
      </c>
      <c r="J692" s="5">
        <f t="shared" si="53"/>
        <v>2245</v>
      </c>
      <c r="K692" s="5">
        <f t="shared" si="54"/>
        <v>2297</v>
      </c>
      <c r="L692" s="5">
        <f>IF(Table1[[#This Row],[Total_System_Load]]&gt;80%*AVERAGE(Table1[Total_System_Load]),Table1[[#This Row],[Total_System_Load]]-Table1[[#This Row],[Total_Children_Under_Care]],0)</f>
        <v>0</v>
      </c>
      <c r="M692" s="5">
        <f t="shared" si="50"/>
        <v>-10</v>
      </c>
      <c r="N692" s="5">
        <f>M693-Table1[[#This Row],[Net_Daily_Intake]]</f>
        <v>11</v>
      </c>
      <c r="O692" s="5">
        <f>M693-Table1[[#This Row],[Net_Daily_Intake]]/Table1[[#This Row],[Net_Daily_Intake]]</f>
        <v>0</v>
      </c>
      <c r="P692" t="str">
        <f>IF(Table1[[#This Row],[Change_in_Net_Daily_Intake]]&gt;0,"Sustained Positive","Negative")</f>
        <v>Sustained Positive</v>
      </c>
      <c r="Q692" s="1">
        <f>(Table1[[#This Row],[Total_System_Load]]-Table1[[#This Row],[Total_Children_Under_Care]])/Table1[[#This Row],[Total_Children_Under_Care]]*100</f>
        <v>2.3162583518930959</v>
      </c>
      <c r="R692" s="1">
        <f>(Table1[[#This Row],[Children_discharged _from_HHS_ Care]]/Table1[[#This Row],[Children_transferred_out_of_CBP_custody]])</f>
        <v>2.1111111111111112</v>
      </c>
    </row>
    <row r="693" spans="1:18" x14ac:dyDescent="0.3">
      <c r="A693">
        <v>692</v>
      </c>
      <c r="B693" s="7">
        <v>45970</v>
      </c>
      <c r="C693" s="5">
        <v>11</v>
      </c>
      <c r="D693" s="5">
        <v>33</v>
      </c>
      <c r="E693" s="5">
        <v>5</v>
      </c>
      <c r="F693" s="5">
        <v>2294</v>
      </c>
      <c r="G693" s="5">
        <v>4</v>
      </c>
      <c r="H693" t="str">
        <f t="shared" si="51"/>
        <v>Valid</v>
      </c>
      <c r="I693" t="str">
        <f t="shared" si="52"/>
        <v>Valid</v>
      </c>
      <c r="J693" s="5">
        <f t="shared" si="53"/>
        <v>2290</v>
      </c>
      <c r="K693" s="5">
        <f t="shared" si="54"/>
        <v>2327</v>
      </c>
      <c r="L693" s="5">
        <f>IF(Table1[[#This Row],[Total_System_Load]]&gt;80%*AVERAGE(Table1[Total_System_Load]),Table1[[#This Row],[Total_System_Load]]-Table1[[#This Row],[Total_Children_Under_Care]],0)</f>
        <v>0</v>
      </c>
      <c r="M693" s="5">
        <f t="shared" si="50"/>
        <v>1</v>
      </c>
      <c r="N693" s="5">
        <f>M694-Table1[[#This Row],[Net_Daily_Intake]]</f>
        <v>-3</v>
      </c>
      <c r="O693" s="5">
        <f>M694-Table1[[#This Row],[Net_Daily_Intake]]/Table1[[#This Row],[Net_Daily_Intake]]</f>
        <v>-3</v>
      </c>
      <c r="P693" t="str">
        <f>IF(Table1[[#This Row],[Change_in_Net_Daily_Intake]]&gt;0,"Sustained Positive","Negative")</f>
        <v>Negative</v>
      </c>
      <c r="Q693" s="1">
        <f>(Table1[[#This Row],[Total_System_Load]]-Table1[[#This Row],[Total_Children_Under_Care]])/Table1[[#This Row],[Total_Children_Under_Care]]*100</f>
        <v>1.6157205240174672</v>
      </c>
      <c r="R693" s="1">
        <f>(Table1[[#This Row],[Children_discharged _from_HHS_ Care]]/Table1[[#This Row],[Children_transferred_out_of_CBP_custody]])</f>
        <v>0.8</v>
      </c>
    </row>
    <row r="694" spans="1:18" x14ac:dyDescent="0.3">
      <c r="A694">
        <v>693</v>
      </c>
      <c r="B694" s="7">
        <v>45972</v>
      </c>
      <c r="C694" s="5">
        <v>11</v>
      </c>
      <c r="D694" s="5">
        <v>39</v>
      </c>
      <c r="E694" s="5">
        <v>12</v>
      </c>
      <c r="F694" s="5">
        <v>2294</v>
      </c>
      <c r="G694" s="5">
        <v>14</v>
      </c>
      <c r="H694" t="str">
        <f t="shared" si="51"/>
        <v>Valid</v>
      </c>
      <c r="I694" t="str">
        <f t="shared" si="52"/>
        <v>Valid</v>
      </c>
      <c r="J694" s="5">
        <f t="shared" si="53"/>
        <v>2280</v>
      </c>
      <c r="K694" s="5">
        <f t="shared" si="54"/>
        <v>2333</v>
      </c>
      <c r="L694" s="5">
        <f>IF(Table1[[#This Row],[Total_System_Load]]&gt;80%*AVERAGE(Table1[Total_System_Load]),Table1[[#This Row],[Total_System_Load]]-Table1[[#This Row],[Total_Children_Under_Care]],0)</f>
        <v>0</v>
      </c>
      <c r="M694" s="5">
        <f t="shared" si="50"/>
        <v>-2</v>
      </c>
      <c r="N694" s="5">
        <f>M695-Table1[[#This Row],[Net_Daily_Intake]]</f>
        <v>15</v>
      </c>
      <c r="O694" s="5">
        <f>M695-Table1[[#This Row],[Net_Daily_Intake]]/Table1[[#This Row],[Net_Daily_Intake]]</f>
        <v>12</v>
      </c>
      <c r="P694" t="str">
        <f>IF(Table1[[#This Row],[Change_in_Net_Daily_Intake]]&gt;0,"Sustained Positive","Negative")</f>
        <v>Sustained Positive</v>
      </c>
      <c r="Q694" s="1">
        <f>(Table1[[#This Row],[Total_System_Load]]-Table1[[#This Row],[Total_Children_Under_Care]])/Table1[[#This Row],[Total_Children_Under_Care]]*100</f>
        <v>2.3245614035087718</v>
      </c>
      <c r="R694" s="1">
        <f>(Table1[[#This Row],[Children_discharged _from_HHS_ Care]]/Table1[[#This Row],[Children_transferred_out_of_CBP_custody]])</f>
        <v>1.1666666666666667</v>
      </c>
    </row>
    <row r="695" spans="1:18" x14ac:dyDescent="0.3">
      <c r="A695">
        <v>694</v>
      </c>
      <c r="B695" s="7">
        <v>45973</v>
      </c>
      <c r="C695" s="5">
        <v>14</v>
      </c>
      <c r="D695" s="5">
        <v>48</v>
      </c>
      <c r="E695" s="5">
        <v>20</v>
      </c>
      <c r="F695" s="5">
        <v>2302</v>
      </c>
      <c r="G695" s="5">
        <v>7</v>
      </c>
      <c r="H695" t="str">
        <f t="shared" si="51"/>
        <v>Valid</v>
      </c>
      <c r="I695" t="str">
        <f t="shared" si="52"/>
        <v>Valid</v>
      </c>
      <c r="J695" s="5">
        <f t="shared" si="53"/>
        <v>2295</v>
      </c>
      <c r="K695" s="5">
        <f t="shared" si="54"/>
        <v>2350</v>
      </c>
      <c r="L695" s="5">
        <f>IF(Table1[[#This Row],[Total_System_Load]]&gt;80%*AVERAGE(Table1[Total_System_Load]),Table1[[#This Row],[Total_System_Load]]-Table1[[#This Row],[Total_Children_Under_Care]],0)</f>
        <v>0</v>
      </c>
      <c r="M695" s="5">
        <f t="shared" si="50"/>
        <v>13</v>
      </c>
      <c r="N695" s="5">
        <f>M696-Table1[[#This Row],[Net_Daily_Intake]]</f>
        <v>-2</v>
      </c>
      <c r="O695" s="5">
        <f>M696-Table1[[#This Row],[Net_Daily_Intake]]/Table1[[#This Row],[Net_Daily_Intake]]</f>
        <v>10</v>
      </c>
      <c r="P695" t="str">
        <f>IF(Table1[[#This Row],[Change_in_Net_Daily_Intake]]&gt;0,"Sustained Positive","Negative")</f>
        <v>Negative</v>
      </c>
      <c r="Q695" s="1">
        <f>(Table1[[#This Row],[Total_System_Load]]-Table1[[#This Row],[Total_Children_Under_Care]])/Table1[[#This Row],[Total_Children_Under_Care]]*100</f>
        <v>2.3965141612200433</v>
      </c>
      <c r="R695" s="1">
        <f>(Table1[[#This Row],[Children_discharged _from_HHS_ Care]]/Table1[[#This Row],[Children_transferred_out_of_CBP_custody]])</f>
        <v>0.35</v>
      </c>
    </row>
    <row r="696" spans="1:18" x14ac:dyDescent="0.3">
      <c r="A696">
        <v>695</v>
      </c>
      <c r="B696" s="7">
        <v>45974</v>
      </c>
      <c r="C696" s="5">
        <v>6</v>
      </c>
      <c r="D696" s="5">
        <v>26</v>
      </c>
      <c r="E696" s="5">
        <v>16</v>
      </c>
      <c r="F696" s="5">
        <v>2317</v>
      </c>
      <c r="G696" s="5">
        <v>5</v>
      </c>
      <c r="H696" t="str">
        <f t="shared" si="51"/>
        <v>Valid</v>
      </c>
      <c r="I696" t="str">
        <f t="shared" si="52"/>
        <v>Valid</v>
      </c>
      <c r="J696" s="5">
        <f t="shared" si="53"/>
        <v>2312</v>
      </c>
      <c r="K696" s="5">
        <f t="shared" si="54"/>
        <v>2343</v>
      </c>
      <c r="L696" s="5">
        <f>IF(Table1[[#This Row],[Total_System_Load]]&gt;80%*AVERAGE(Table1[Total_System_Load]),Table1[[#This Row],[Total_System_Load]]-Table1[[#This Row],[Total_Children_Under_Care]],0)</f>
        <v>0</v>
      </c>
      <c r="M696" s="5">
        <f t="shared" si="50"/>
        <v>11</v>
      </c>
      <c r="N696" s="5">
        <f>M697-Table1[[#This Row],[Net_Daily_Intake]]</f>
        <v>-13</v>
      </c>
      <c r="O696" s="5">
        <f>M697-Table1[[#This Row],[Net_Daily_Intake]]/Table1[[#This Row],[Net_Daily_Intake]]</f>
        <v>-3</v>
      </c>
      <c r="P696" t="str">
        <f>IF(Table1[[#This Row],[Change_in_Net_Daily_Intake]]&gt;0,"Sustained Positive","Negative")</f>
        <v>Negative</v>
      </c>
      <c r="Q696" s="1">
        <f>(Table1[[#This Row],[Total_System_Load]]-Table1[[#This Row],[Total_Children_Under_Care]])/Table1[[#This Row],[Total_Children_Under_Care]]*100</f>
        <v>1.3408304498269896</v>
      </c>
      <c r="R696" s="1">
        <f>(Table1[[#This Row],[Children_discharged _from_HHS_ Care]]/Table1[[#This Row],[Children_transferred_out_of_CBP_custody]])</f>
        <v>0.3125</v>
      </c>
    </row>
    <row r="697" spans="1:18" x14ac:dyDescent="0.3">
      <c r="A697">
        <v>696</v>
      </c>
      <c r="B697" s="7">
        <v>45977</v>
      </c>
      <c r="C697" s="5">
        <v>5</v>
      </c>
      <c r="D697" s="5">
        <v>22</v>
      </c>
      <c r="E697" s="5">
        <v>3</v>
      </c>
      <c r="F697" s="5">
        <v>2340</v>
      </c>
      <c r="G697" s="5">
        <v>5</v>
      </c>
      <c r="H697" t="str">
        <f t="shared" si="51"/>
        <v>Valid</v>
      </c>
      <c r="I697" t="str">
        <f t="shared" si="52"/>
        <v>Valid</v>
      </c>
      <c r="J697" s="5">
        <f t="shared" si="53"/>
        <v>2335</v>
      </c>
      <c r="K697" s="5">
        <f t="shared" si="54"/>
        <v>2362</v>
      </c>
      <c r="L697" s="5">
        <f>IF(Table1[[#This Row],[Total_System_Load]]&gt;80%*AVERAGE(Table1[Total_System_Load]),Table1[[#This Row],[Total_System_Load]]-Table1[[#This Row],[Total_Children_Under_Care]],0)</f>
        <v>0</v>
      </c>
      <c r="M697" s="5">
        <f t="shared" si="50"/>
        <v>-2</v>
      </c>
      <c r="N697" s="5">
        <f>M698-Table1[[#This Row],[Net_Daily_Intake]]</f>
        <v>0</v>
      </c>
      <c r="O697" s="5">
        <f>M698-Table1[[#This Row],[Net_Daily_Intake]]/Table1[[#This Row],[Net_Daily_Intake]]</f>
        <v>-3</v>
      </c>
      <c r="P697" t="str">
        <f>IF(Table1[[#This Row],[Change_in_Net_Daily_Intake]]&gt;0,"Sustained Positive","Negative")</f>
        <v>Negative</v>
      </c>
      <c r="Q697" s="1">
        <f>(Table1[[#This Row],[Total_System_Load]]-Table1[[#This Row],[Total_Children_Under_Care]])/Table1[[#This Row],[Total_Children_Under_Care]]*100</f>
        <v>1.1563169164882228</v>
      </c>
      <c r="R697" s="1">
        <f>(Table1[[#This Row],[Children_discharged _from_HHS_ Care]]/Table1[[#This Row],[Children_transferred_out_of_CBP_custody]])</f>
        <v>1.6666666666666667</v>
      </c>
    </row>
    <row r="698" spans="1:18" x14ac:dyDescent="0.3">
      <c r="A698">
        <v>697</v>
      </c>
      <c r="B698" s="7">
        <v>45978</v>
      </c>
      <c r="C698" s="5">
        <v>1</v>
      </c>
      <c r="D698" s="5">
        <v>35</v>
      </c>
      <c r="E698" s="5">
        <v>6</v>
      </c>
      <c r="F698" s="5">
        <v>2343</v>
      </c>
      <c r="G698" s="5">
        <v>8</v>
      </c>
      <c r="H698" t="str">
        <f t="shared" si="51"/>
        <v>Valid</v>
      </c>
      <c r="I698" t="str">
        <f t="shared" si="52"/>
        <v>Valid</v>
      </c>
      <c r="J698" s="5">
        <f t="shared" si="53"/>
        <v>2335</v>
      </c>
      <c r="K698" s="5">
        <f t="shared" si="54"/>
        <v>2378</v>
      </c>
      <c r="L698" s="5">
        <f>IF(Table1[[#This Row],[Total_System_Load]]&gt;80%*AVERAGE(Table1[Total_System_Load]),Table1[[#This Row],[Total_System_Load]]-Table1[[#This Row],[Total_Children_Under_Care]],0)</f>
        <v>0</v>
      </c>
      <c r="M698" s="5">
        <f t="shared" si="50"/>
        <v>-2</v>
      </c>
      <c r="N698" s="5">
        <f>M699-Table1[[#This Row],[Net_Daily_Intake]]</f>
        <v>-2</v>
      </c>
      <c r="O698" s="5">
        <f>M699-Table1[[#This Row],[Net_Daily_Intake]]/Table1[[#This Row],[Net_Daily_Intake]]</f>
        <v>-5</v>
      </c>
      <c r="P698" t="str">
        <f>IF(Table1[[#This Row],[Change_in_Net_Daily_Intake]]&gt;0,"Sustained Positive","Negative")</f>
        <v>Negative</v>
      </c>
      <c r="Q698" s="1">
        <f>(Table1[[#This Row],[Total_System_Load]]-Table1[[#This Row],[Total_Children_Under_Care]])/Table1[[#This Row],[Total_Children_Under_Care]]*100</f>
        <v>1.8415417558886511</v>
      </c>
      <c r="R698" s="1">
        <f>(Table1[[#This Row],[Children_discharged _from_HHS_ Care]]/Table1[[#This Row],[Children_transferred_out_of_CBP_custody]])</f>
        <v>1.3333333333333333</v>
      </c>
    </row>
    <row r="699" spans="1:18" x14ac:dyDescent="0.3">
      <c r="A699">
        <v>698</v>
      </c>
      <c r="B699" s="7">
        <v>45979</v>
      </c>
      <c r="C699" s="5">
        <v>2</v>
      </c>
      <c r="D699" s="5">
        <v>38</v>
      </c>
      <c r="E699" s="5">
        <v>8</v>
      </c>
      <c r="F699" s="5">
        <v>2345</v>
      </c>
      <c r="G699" s="5">
        <v>12</v>
      </c>
      <c r="H699" t="str">
        <f t="shared" si="51"/>
        <v>Valid</v>
      </c>
      <c r="I699" t="str">
        <f t="shared" si="52"/>
        <v>Valid</v>
      </c>
      <c r="J699" s="5">
        <f t="shared" si="53"/>
        <v>2333</v>
      </c>
      <c r="K699" s="5">
        <f t="shared" si="54"/>
        <v>2383</v>
      </c>
      <c r="L699" s="5">
        <f>IF(Table1[[#This Row],[Total_System_Load]]&gt;80%*AVERAGE(Table1[Total_System_Load]),Table1[[#This Row],[Total_System_Load]]-Table1[[#This Row],[Total_Children_Under_Care]],0)</f>
        <v>0</v>
      </c>
      <c r="M699" s="5">
        <f t="shared" si="50"/>
        <v>-4</v>
      </c>
      <c r="N699" s="5">
        <f>M700-Table1[[#This Row],[Net_Daily_Intake]]</f>
        <v>-3</v>
      </c>
      <c r="O699" s="5">
        <f>M700-Table1[[#This Row],[Net_Daily_Intake]]/Table1[[#This Row],[Net_Daily_Intake]]</f>
        <v>-8</v>
      </c>
      <c r="P699" t="str">
        <f>IF(Table1[[#This Row],[Change_in_Net_Daily_Intake]]&gt;0,"Sustained Positive","Negative")</f>
        <v>Negative</v>
      </c>
      <c r="Q699" s="1">
        <f>(Table1[[#This Row],[Total_System_Load]]-Table1[[#This Row],[Total_Children_Under_Care]])/Table1[[#This Row],[Total_Children_Under_Care]]*100</f>
        <v>2.1431633090441493</v>
      </c>
      <c r="R699" s="1">
        <f>(Table1[[#This Row],[Children_discharged _from_HHS_ Care]]/Table1[[#This Row],[Children_transferred_out_of_CBP_custody]])</f>
        <v>1.5</v>
      </c>
    </row>
    <row r="700" spans="1:18" x14ac:dyDescent="0.3">
      <c r="A700">
        <v>699</v>
      </c>
      <c r="B700" s="7">
        <v>45980</v>
      </c>
      <c r="C700" s="5">
        <v>7</v>
      </c>
      <c r="D700" s="5">
        <v>32</v>
      </c>
      <c r="E700" s="5">
        <v>3</v>
      </c>
      <c r="F700" s="5">
        <v>2340</v>
      </c>
      <c r="G700" s="5">
        <v>10</v>
      </c>
      <c r="H700" t="str">
        <f t="shared" si="51"/>
        <v>Valid</v>
      </c>
      <c r="I700" t="str">
        <f t="shared" si="52"/>
        <v>Valid</v>
      </c>
      <c r="J700" s="5">
        <f t="shared" si="53"/>
        <v>2330</v>
      </c>
      <c r="K700" s="5">
        <f t="shared" si="54"/>
        <v>2372</v>
      </c>
      <c r="L700" s="5">
        <f>IF(Table1[[#This Row],[Total_System_Load]]&gt;80%*AVERAGE(Table1[Total_System_Load]),Table1[[#This Row],[Total_System_Load]]-Table1[[#This Row],[Total_Children_Under_Care]],0)</f>
        <v>0</v>
      </c>
      <c r="M700" s="5">
        <f t="shared" si="50"/>
        <v>-7</v>
      </c>
      <c r="N700" s="5">
        <f>M701-Table1[[#This Row],[Net_Daily_Intake]]</f>
        <v>6</v>
      </c>
      <c r="O700" s="5">
        <f>M701-Table1[[#This Row],[Net_Daily_Intake]]/Table1[[#This Row],[Net_Daily_Intake]]</f>
        <v>-2</v>
      </c>
      <c r="P700" t="str">
        <f>IF(Table1[[#This Row],[Change_in_Net_Daily_Intake]]&gt;0,"Sustained Positive","Negative")</f>
        <v>Sustained Positive</v>
      </c>
      <c r="Q700" s="1">
        <f>(Table1[[#This Row],[Total_System_Load]]-Table1[[#This Row],[Total_Children_Under_Care]])/Table1[[#This Row],[Total_Children_Under_Care]]*100</f>
        <v>1.8025751072961373</v>
      </c>
      <c r="R700" s="1">
        <f>(Table1[[#This Row],[Children_discharged _from_HHS_ Care]]/Table1[[#This Row],[Children_transferred_out_of_CBP_custody]])</f>
        <v>3.3333333333333335</v>
      </c>
    </row>
    <row r="701" spans="1:18" x14ac:dyDescent="0.3">
      <c r="A701">
        <v>700</v>
      </c>
      <c r="B701" s="7">
        <v>45981</v>
      </c>
      <c r="C701" s="5">
        <v>18</v>
      </c>
      <c r="D701" s="5">
        <v>57</v>
      </c>
      <c r="E701" s="5">
        <v>8</v>
      </c>
      <c r="F701" s="5">
        <v>2340</v>
      </c>
      <c r="G701" s="5">
        <v>9</v>
      </c>
      <c r="H701" t="str">
        <f t="shared" si="51"/>
        <v>Valid</v>
      </c>
      <c r="I701" t="str">
        <f t="shared" si="52"/>
        <v>Valid</v>
      </c>
      <c r="J701" s="5">
        <f t="shared" si="53"/>
        <v>2331</v>
      </c>
      <c r="K701" s="5">
        <f t="shared" si="54"/>
        <v>2397</v>
      </c>
      <c r="L701" s="5">
        <f>IF(Table1[[#This Row],[Total_System_Load]]&gt;80%*AVERAGE(Table1[Total_System_Load]),Table1[[#This Row],[Total_System_Load]]-Table1[[#This Row],[Total_Children_Under_Care]],0)</f>
        <v>0</v>
      </c>
      <c r="M701" s="5">
        <f t="shared" si="50"/>
        <v>-1</v>
      </c>
      <c r="N701" s="5">
        <f>M702-Table1[[#This Row],[Net_Daily_Intake]]</f>
        <v>22</v>
      </c>
      <c r="O701" s="5">
        <f>M702-Table1[[#This Row],[Net_Daily_Intake]]/Table1[[#This Row],[Net_Daily_Intake]]</f>
        <v>20</v>
      </c>
      <c r="P701" t="str">
        <f>IF(Table1[[#This Row],[Change_in_Net_Daily_Intake]]&gt;0,"Sustained Positive","Negative")</f>
        <v>Sustained Positive</v>
      </c>
      <c r="Q701" s="1">
        <f>(Table1[[#This Row],[Total_System_Load]]-Table1[[#This Row],[Total_Children_Under_Care]])/Table1[[#This Row],[Total_Children_Under_Care]]*100</f>
        <v>2.8314028314028317</v>
      </c>
      <c r="R701" s="1">
        <f>(Table1[[#This Row],[Children_discharged _from_HHS_ Care]]/Table1[[#This Row],[Children_transferred_out_of_CBP_custody]])</f>
        <v>1.125</v>
      </c>
    </row>
    <row r="702" spans="1:18" x14ac:dyDescent="0.3">
      <c r="A702">
        <v>701</v>
      </c>
      <c r="B702" s="7">
        <v>45984</v>
      </c>
      <c r="C702" s="5">
        <v>3</v>
      </c>
      <c r="D702" s="5">
        <v>46</v>
      </c>
      <c r="E702" s="5">
        <v>22</v>
      </c>
      <c r="F702" s="5">
        <v>2375</v>
      </c>
      <c r="G702" s="5">
        <v>1</v>
      </c>
      <c r="H702" t="str">
        <f t="shared" si="51"/>
        <v>Valid</v>
      </c>
      <c r="I702" t="str">
        <f t="shared" si="52"/>
        <v>Valid</v>
      </c>
      <c r="J702" s="5">
        <f t="shared" si="53"/>
        <v>2374</v>
      </c>
      <c r="K702" s="5">
        <f t="shared" si="54"/>
        <v>2421</v>
      </c>
      <c r="L702" s="5">
        <f>IF(Table1[[#This Row],[Total_System_Load]]&gt;80%*AVERAGE(Table1[Total_System_Load]),Table1[[#This Row],[Total_System_Load]]-Table1[[#This Row],[Total_Children_Under_Care]],0)</f>
        <v>0</v>
      </c>
      <c r="M702" s="5">
        <f t="shared" si="50"/>
        <v>21</v>
      </c>
      <c r="N702" s="5">
        <f>M703-Table1[[#This Row],[Net_Daily_Intake]]</f>
        <v>-25</v>
      </c>
      <c r="O702" s="5">
        <f>M703-Table1[[#This Row],[Net_Daily_Intake]]/Table1[[#This Row],[Net_Daily_Intake]]</f>
        <v>-5</v>
      </c>
      <c r="P702" t="str">
        <f>IF(Table1[[#This Row],[Change_in_Net_Daily_Intake]]&gt;0,"Sustained Positive","Negative")</f>
        <v>Negative</v>
      </c>
      <c r="Q702" s="1">
        <f>(Table1[[#This Row],[Total_System_Load]]-Table1[[#This Row],[Total_Children_Under_Care]])/Table1[[#This Row],[Total_Children_Under_Care]]*100</f>
        <v>1.9797809604043808</v>
      </c>
      <c r="R702" s="1">
        <f>(Table1[[#This Row],[Children_discharged _from_HHS_ Care]]/Table1[[#This Row],[Children_transferred_out_of_CBP_custody]])</f>
        <v>4.5454545454545456E-2</v>
      </c>
    </row>
    <row r="703" spans="1:18" x14ac:dyDescent="0.3">
      <c r="A703">
        <v>702</v>
      </c>
      <c r="B703" s="7">
        <v>45985</v>
      </c>
      <c r="C703" s="5">
        <v>9</v>
      </c>
      <c r="D703" s="5">
        <v>40</v>
      </c>
      <c r="E703" s="5">
        <v>9</v>
      </c>
      <c r="F703" s="5">
        <v>2371</v>
      </c>
      <c r="G703" s="5">
        <v>13</v>
      </c>
      <c r="H703" t="str">
        <f t="shared" si="51"/>
        <v>Valid</v>
      </c>
      <c r="I703" t="str">
        <f t="shared" si="52"/>
        <v>Valid</v>
      </c>
      <c r="J703" s="5">
        <f t="shared" si="53"/>
        <v>2358</v>
      </c>
      <c r="K703" s="5">
        <f t="shared" si="54"/>
        <v>2411</v>
      </c>
      <c r="L703" s="5">
        <f>IF(Table1[[#This Row],[Total_System_Load]]&gt;80%*AVERAGE(Table1[Total_System_Load]),Table1[[#This Row],[Total_System_Load]]-Table1[[#This Row],[Total_Children_Under_Care]],0)</f>
        <v>0</v>
      </c>
      <c r="M703" s="5">
        <f t="shared" si="50"/>
        <v>-4</v>
      </c>
      <c r="N703" s="5">
        <f>M704-Table1[[#This Row],[Net_Daily_Intake]]</f>
        <v>7</v>
      </c>
      <c r="O703" s="5">
        <f>M704-Table1[[#This Row],[Net_Daily_Intake]]/Table1[[#This Row],[Net_Daily_Intake]]</f>
        <v>2</v>
      </c>
      <c r="P703" t="str">
        <f>IF(Table1[[#This Row],[Change_in_Net_Daily_Intake]]&gt;0,"Sustained Positive","Negative")</f>
        <v>Sustained Positive</v>
      </c>
      <c r="Q703" s="1">
        <f>(Table1[[#This Row],[Total_System_Load]]-Table1[[#This Row],[Total_Children_Under_Care]])/Table1[[#This Row],[Total_Children_Under_Care]]*100</f>
        <v>2.2476675148430871</v>
      </c>
      <c r="R703" s="1">
        <f>(Table1[[#This Row],[Children_discharged _from_HHS_ Care]]/Table1[[#This Row],[Children_transferred_out_of_CBP_custody]])</f>
        <v>1.4444444444444444</v>
      </c>
    </row>
    <row r="704" spans="1:18" x14ac:dyDescent="0.3">
      <c r="A704">
        <v>703</v>
      </c>
      <c r="B704" s="7">
        <v>45986</v>
      </c>
      <c r="C704" s="5">
        <v>6</v>
      </c>
      <c r="D704" s="5">
        <v>47</v>
      </c>
      <c r="E704" s="5">
        <v>14</v>
      </c>
      <c r="F704" s="5">
        <v>2375</v>
      </c>
      <c r="G704" s="5">
        <v>11</v>
      </c>
      <c r="H704" t="str">
        <f t="shared" si="51"/>
        <v>Valid</v>
      </c>
      <c r="I704" t="str">
        <f t="shared" si="52"/>
        <v>Valid</v>
      </c>
      <c r="J704" s="5">
        <f t="shared" si="53"/>
        <v>2364</v>
      </c>
      <c r="K704" s="5">
        <f t="shared" si="54"/>
        <v>2422</v>
      </c>
      <c r="L704" s="5">
        <f>IF(Table1[[#This Row],[Total_System_Load]]&gt;80%*AVERAGE(Table1[Total_System_Load]),Table1[[#This Row],[Total_System_Load]]-Table1[[#This Row],[Total_Children_Under_Care]],0)</f>
        <v>0</v>
      </c>
      <c r="M704" s="5">
        <f t="shared" si="50"/>
        <v>3</v>
      </c>
      <c r="N704" s="5">
        <f>M705-Table1[[#This Row],[Net_Daily_Intake]]</f>
        <v>-2</v>
      </c>
      <c r="O704" s="5">
        <f>M705-Table1[[#This Row],[Net_Daily_Intake]]/Table1[[#This Row],[Net_Daily_Intake]]</f>
        <v>0</v>
      </c>
      <c r="P704" t="str">
        <f>IF(Table1[[#This Row],[Change_in_Net_Daily_Intake]]&gt;0,"Sustained Positive","Negative")</f>
        <v>Negative</v>
      </c>
      <c r="Q704" s="1">
        <f>(Table1[[#This Row],[Total_System_Load]]-Table1[[#This Row],[Total_Children_Under_Care]])/Table1[[#This Row],[Total_Children_Under_Care]]*100</f>
        <v>2.4534686971235193</v>
      </c>
      <c r="R704" s="1">
        <f>(Table1[[#This Row],[Children_discharged _from_HHS_ Care]]/Table1[[#This Row],[Children_transferred_out_of_CBP_custody]])</f>
        <v>0.7857142857142857</v>
      </c>
    </row>
    <row r="705" spans="1:18" x14ac:dyDescent="0.3">
      <c r="A705">
        <v>704</v>
      </c>
      <c r="B705" s="7">
        <v>45988</v>
      </c>
      <c r="C705" s="5">
        <v>4</v>
      </c>
      <c r="D705" s="5">
        <v>24</v>
      </c>
      <c r="E705" s="5">
        <v>8</v>
      </c>
      <c r="F705" s="5">
        <v>2389</v>
      </c>
      <c r="G705" s="5">
        <v>7</v>
      </c>
      <c r="H705" t="str">
        <f t="shared" si="51"/>
        <v>Valid</v>
      </c>
      <c r="I705" t="str">
        <f t="shared" si="52"/>
        <v>Valid</v>
      </c>
      <c r="J705" s="5">
        <f t="shared" si="53"/>
        <v>2382</v>
      </c>
      <c r="K705" s="5">
        <f t="shared" si="54"/>
        <v>2413</v>
      </c>
      <c r="L705" s="5">
        <f>IF(Table1[[#This Row],[Total_System_Load]]&gt;80%*AVERAGE(Table1[Total_System_Load]),Table1[[#This Row],[Total_System_Load]]-Table1[[#This Row],[Total_Children_Under_Care]],0)</f>
        <v>0</v>
      </c>
      <c r="M705" s="5">
        <f t="shared" si="50"/>
        <v>1</v>
      </c>
      <c r="N705" s="5">
        <f>M706-Table1[[#This Row],[Net_Daily_Intake]]</f>
        <v>9</v>
      </c>
      <c r="O705" s="5">
        <f>M706-Table1[[#This Row],[Net_Daily_Intake]]/Table1[[#This Row],[Net_Daily_Intake]]</f>
        <v>9</v>
      </c>
      <c r="P705" t="str">
        <f>IF(Table1[[#This Row],[Change_in_Net_Daily_Intake]]&gt;0,"Sustained Positive","Negative")</f>
        <v>Sustained Positive</v>
      </c>
      <c r="Q705" s="1">
        <f>(Table1[[#This Row],[Total_System_Load]]-Table1[[#This Row],[Total_Children_Under_Care]])/Table1[[#This Row],[Total_Children_Under_Care]]*100</f>
        <v>1.3014273719563392</v>
      </c>
      <c r="R705" s="1">
        <f>(Table1[[#This Row],[Children_discharged _from_HHS_ Care]]/Table1[[#This Row],[Children_transferred_out_of_CBP_custody]])</f>
        <v>0.875</v>
      </c>
    </row>
    <row r="706" spans="1:18" x14ac:dyDescent="0.3">
      <c r="A706">
        <v>705</v>
      </c>
      <c r="B706" s="7">
        <v>45991</v>
      </c>
      <c r="C706" s="5">
        <v>4</v>
      </c>
      <c r="D706" s="5">
        <v>18</v>
      </c>
      <c r="E706" s="5">
        <v>10</v>
      </c>
      <c r="F706" s="5">
        <v>2415</v>
      </c>
      <c r="G706" s="5">
        <v>0</v>
      </c>
      <c r="H706" t="str">
        <f t="shared" si="51"/>
        <v>Valid</v>
      </c>
      <c r="I706" t="str">
        <f t="shared" si="52"/>
        <v>Valid</v>
      </c>
      <c r="J706" s="5">
        <f t="shared" si="53"/>
        <v>2415</v>
      </c>
      <c r="K706" s="5">
        <f t="shared" si="54"/>
        <v>2433</v>
      </c>
      <c r="L706" s="5">
        <f>IF(Table1[[#This Row],[Total_System_Load]]&gt;80%*AVERAGE(Table1[Total_System_Load]),Table1[[#This Row],[Total_System_Load]]-Table1[[#This Row],[Total_Children_Under_Care]],0)</f>
        <v>0</v>
      </c>
      <c r="M706" s="5">
        <f t="shared" ref="M706:M721" si="55">E706-G706</f>
        <v>10</v>
      </c>
      <c r="N706" s="5">
        <f>M707-Table1[[#This Row],[Net_Daily_Intake]]</f>
        <v>-15</v>
      </c>
      <c r="O706" s="5">
        <f>M707-Table1[[#This Row],[Net_Daily_Intake]]/Table1[[#This Row],[Net_Daily_Intake]]</f>
        <v>-6</v>
      </c>
      <c r="P706" t="str">
        <f>IF(Table1[[#This Row],[Change_in_Net_Daily_Intake]]&gt;0,"Sustained Positive","Negative")</f>
        <v>Negative</v>
      </c>
      <c r="Q706" s="1">
        <f>(Table1[[#This Row],[Total_System_Load]]-Table1[[#This Row],[Total_Children_Under_Care]])/Table1[[#This Row],[Total_Children_Under_Care]]*100</f>
        <v>0.74534161490683226</v>
      </c>
      <c r="R706" s="1">
        <f>(Table1[[#This Row],[Children_discharged _from_HHS_ Care]]/Table1[[#This Row],[Children_transferred_out_of_CBP_custody]])</f>
        <v>0</v>
      </c>
    </row>
    <row r="707" spans="1:18" x14ac:dyDescent="0.3">
      <c r="A707">
        <v>706</v>
      </c>
      <c r="B707" s="7">
        <v>45992</v>
      </c>
      <c r="C707" s="5">
        <v>4</v>
      </c>
      <c r="D707" s="5">
        <v>26</v>
      </c>
      <c r="E707" s="5">
        <v>4</v>
      </c>
      <c r="F707" s="5">
        <v>2410</v>
      </c>
      <c r="G707" s="5">
        <v>9</v>
      </c>
      <c r="H707" t="str">
        <f t="shared" ref="H707:H721" si="56">IF(E707&lt;=D707,"Valid","Invalid")</f>
        <v>Valid</v>
      </c>
      <c r="I707" t="str">
        <f t="shared" ref="I707:I721" si="57">IF(G707&lt;=F707,"Valid","Invalid")</f>
        <v>Valid</v>
      </c>
      <c r="J707" s="5">
        <f t="shared" ref="J707:J721" si="58">F707-G707</f>
        <v>2401</v>
      </c>
      <c r="K707" s="5">
        <f t="shared" ref="K707:K721" si="59">D707+F707</f>
        <v>2436</v>
      </c>
      <c r="L707" s="5">
        <f>IF(Table1[[#This Row],[Total_System_Load]]&gt;80%*AVERAGE(Table1[Total_System_Load]),Table1[[#This Row],[Total_System_Load]]-Table1[[#This Row],[Total_Children_Under_Care]],0)</f>
        <v>0</v>
      </c>
      <c r="M707" s="5">
        <f t="shared" si="55"/>
        <v>-5</v>
      </c>
      <c r="N707" s="5">
        <f>M708-Table1[[#This Row],[Net_Daily_Intake]]</f>
        <v>3</v>
      </c>
      <c r="O707" s="5">
        <f>M708-Table1[[#This Row],[Net_Daily_Intake]]/Table1[[#This Row],[Net_Daily_Intake]]</f>
        <v>-3</v>
      </c>
      <c r="P707" t="str">
        <f>IF(Table1[[#This Row],[Change_in_Net_Daily_Intake]]&gt;0,"Sustained Positive","Negative")</f>
        <v>Sustained Positive</v>
      </c>
      <c r="Q707" s="1">
        <f>(Table1[[#This Row],[Total_System_Load]]-Table1[[#This Row],[Total_Children_Under_Care]])/Table1[[#This Row],[Total_Children_Under_Care]]*100</f>
        <v>1.4577259475218658</v>
      </c>
      <c r="R707" s="1">
        <f>(Table1[[#This Row],[Children_discharged _from_HHS_ Care]]/Table1[[#This Row],[Children_transferred_out_of_CBP_custody]])</f>
        <v>2.25</v>
      </c>
    </row>
    <row r="708" spans="1:18" x14ac:dyDescent="0.3">
      <c r="A708">
        <v>707</v>
      </c>
      <c r="B708" s="7">
        <v>45993</v>
      </c>
      <c r="C708" s="5">
        <v>7</v>
      </c>
      <c r="D708" s="5">
        <v>34</v>
      </c>
      <c r="E708" s="5">
        <v>6</v>
      </c>
      <c r="F708" s="5">
        <v>2407</v>
      </c>
      <c r="G708" s="5">
        <v>8</v>
      </c>
      <c r="H708" t="str">
        <f t="shared" si="56"/>
        <v>Valid</v>
      </c>
      <c r="I708" t="str">
        <f t="shared" si="57"/>
        <v>Valid</v>
      </c>
      <c r="J708" s="5">
        <f t="shared" si="58"/>
        <v>2399</v>
      </c>
      <c r="K708" s="5">
        <f t="shared" si="59"/>
        <v>2441</v>
      </c>
      <c r="L708" s="5">
        <f>IF(Table1[[#This Row],[Total_System_Load]]&gt;80%*AVERAGE(Table1[Total_System_Load]),Table1[[#This Row],[Total_System_Load]]-Table1[[#This Row],[Total_Children_Under_Care]],0)</f>
        <v>0</v>
      </c>
      <c r="M708" s="5">
        <f t="shared" si="55"/>
        <v>-2</v>
      </c>
      <c r="N708" s="5">
        <f>M709-Table1[[#This Row],[Net_Daily_Intake]]</f>
        <v>3</v>
      </c>
      <c r="O708" s="5">
        <f>M709-Table1[[#This Row],[Net_Daily_Intake]]/Table1[[#This Row],[Net_Daily_Intake]]</f>
        <v>0</v>
      </c>
      <c r="P708" t="str">
        <f>IF(Table1[[#This Row],[Change_in_Net_Daily_Intake]]&gt;0,"Sustained Positive","Negative")</f>
        <v>Sustained Positive</v>
      </c>
      <c r="Q708" s="1">
        <f>(Table1[[#This Row],[Total_System_Load]]-Table1[[#This Row],[Total_Children_Under_Care]])/Table1[[#This Row],[Total_Children_Under_Care]]*100</f>
        <v>1.7507294706127552</v>
      </c>
      <c r="R708" s="1">
        <f>(Table1[[#This Row],[Children_discharged _from_HHS_ Care]]/Table1[[#This Row],[Children_transferred_out_of_CBP_custody]])</f>
        <v>1.3333333333333333</v>
      </c>
    </row>
    <row r="709" spans="1:18" x14ac:dyDescent="0.3">
      <c r="A709">
        <v>708</v>
      </c>
      <c r="B709" s="7">
        <v>45994</v>
      </c>
      <c r="C709" s="5">
        <v>4</v>
      </c>
      <c r="D709" s="5">
        <v>32</v>
      </c>
      <c r="E709" s="5">
        <v>8</v>
      </c>
      <c r="F709" s="5">
        <v>2419</v>
      </c>
      <c r="G709" s="5">
        <v>7</v>
      </c>
      <c r="H709" t="str">
        <f t="shared" si="56"/>
        <v>Valid</v>
      </c>
      <c r="I709" t="str">
        <f t="shared" si="57"/>
        <v>Valid</v>
      </c>
      <c r="J709" s="5">
        <f t="shared" si="58"/>
        <v>2412</v>
      </c>
      <c r="K709" s="5">
        <f t="shared" si="59"/>
        <v>2451</v>
      </c>
      <c r="L709" s="5">
        <f>IF(Table1[[#This Row],[Total_System_Load]]&gt;80%*AVERAGE(Table1[Total_System_Load]),Table1[[#This Row],[Total_System_Load]]-Table1[[#This Row],[Total_Children_Under_Care]],0)</f>
        <v>0</v>
      </c>
      <c r="M709" s="5">
        <f t="shared" si="55"/>
        <v>1</v>
      </c>
      <c r="N709" s="5">
        <f>M710-Table1[[#This Row],[Net_Daily_Intake]]</f>
        <v>-7</v>
      </c>
      <c r="O709" s="5">
        <f>M710-Table1[[#This Row],[Net_Daily_Intake]]/Table1[[#This Row],[Net_Daily_Intake]]</f>
        <v>-7</v>
      </c>
      <c r="P709" t="str">
        <f>IF(Table1[[#This Row],[Change_in_Net_Daily_Intake]]&gt;0,"Sustained Positive","Negative")</f>
        <v>Negative</v>
      </c>
      <c r="Q709" s="1">
        <f>(Table1[[#This Row],[Total_System_Load]]-Table1[[#This Row],[Total_Children_Under_Care]])/Table1[[#This Row],[Total_Children_Under_Care]]*100</f>
        <v>1.616915422885572</v>
      </c>
      <c r="R709" s="1">
        <f>(Table1[[#This Row],[Children_discharged _from_HHS_ Care]]/Table1[[#This Row],[Children_transferred_out_of_CBP_custody]])</f>
        <v>0.875</v>
      </c>
    </row>
    <row r="710" spans="1:18" x14ac:dyDescent="0.3">
      <c r="A710">
        <v>709</v>
      </c>
      <c r="B710" s="7">
        <v>45995</v>
      </c>
      <c r="C710" s="5">
        <v>16</v>
      </c>
      <c r="D710" s="5">
        <v>39</v>
      </c>
      <c r="E710" s="5">
        <v>7</v>
      </c>
      <c r="F710" s="5">
        <v>2418</v>
      </c>
      <c r="G710" s="5">
        <v>13</v>
      </c>
      <c r="H710" t="str">
        <f t="shared" si="56"/>
        <v>Valid</v>
      </c>
      <c r="I710" t="str">
        <f t="shared" si="57"/>
        <v>Valid</v>
      </c>
      <c r="J710" s="5">
        <f t="shared" si="58"/>
        <v>2405</v>
      </c>
      <c r="K710" s="5">
        <f t="shared" si="59"/>
        <v>2457</v>
      </c>
      <c r="L710" s="5">
        <f>IF(Table1[[#This Row],[Total_System_Load]]&gt;80%*AVERAGE(Table1[Total_System_Load]),Table1[[#This Row],[Total_System_Load]]-Table1[[#This Row],[Total_Children_Under_Care]],0)</f>
        <v>0</v>
      </c>
      <c r="M710" s="5">
        <f t="shared" si="55"/>
        <v>-6</v>
      </c>
      <c r="N710" s="5">
        <f>M711-Table1[[#This Row],[Net_Daily_Intake]]</f>
        <v>7</v>
      </c>
      <c r="O710" s="5">
        <f>M711-Table1[[#This Row],[Net_Daily_Intake]]/Table1[[#This Row],[Net_Daily_Intake]]</f>
        <v>0</v>
      </c>
      <c r="P710" t="str">
        <f>IF(Table1[[#This Row],[Change_in_Net_Daily_Intake]]&gt;0,"Sustained Positive","Negative")</f>
        <v>Sustained Positive</v>
      </c>
      <c r="Q710" s="1">
        <f>(Table1[[#This Row],[Total_System_Load]]-Table1[[#This Row],[Total_Children_Under_Care]])/Table1[[#This Row],[Total_Children_Under_Care]]*100</f>
        <v>2.1621621621621623</v>
      </c>
      <c r="R710" s="1">
        <f>(Table1[[#This Row],[Children_discharged _from_HHS_ Care]]/Table1[[#This Row],[Children_transferred_out_of_CBP_custody]])</f>
        <v>1.8571428571428572</v>
      </c>
    </row>
    <row r="711" spans="1:18" x14ac:dyDescent="0.3">
      <c r="A711">
        <v>710</v>
      </c>
      <c r="B711" s="7">
        <v>45998</v>
      </c>
      <c r="C711" s="5">
        <v>4</v>
      </c>
      <c r="D711" s="5">
        <v>24</v>
      </c>
      <c r="E711" s="5">
        <v>13</v>
      </c>
      <c r="F711" s="5">
        <v>2429</v>
      </c>
      <c r="G711" s="5">
        <v>12</v>
      </c>
      <c r="H711" t="str">
        <f t="shared" si="56"/>
        <v>Valid</v>
      </c>
      <c r="I711" t="str">
        <f t="shared" si="57"/>
        <v>Valid</v>
      </c>
      <c r="J711" s="5">
        <f t="shared" si="58"/>
        <v>2417</v>
      </c>
      <c r="K711" s="5">
        <f t="shared" si="59"/>
        <v>2453</v>
      </c>
      <c r="L711" s="5">
        <f>IF(Table1[[#This Row],[Total_System_Load]]&gt;80%*AVERAGE(Table1[Total_System_Load]),Table1[[#This Row],[Total_System_Load]]-Table1[[#This Row],[Total_Children_Under_Care]],0)</f>
        <v>0</v>
      </c>
      <c r="M711" s="5">
        <f t="shared" si="55"/>
        <v>1</v>
      </c>
      <c r="N711" s="5">
        <f>M712-Table1[[#This Row],[Net_Daily_Intake]]</f>
        <v>4</v>
      </c>
      <c r="O711" s="5">
        <f>M712-Table1[[#This Row],[Net_Daily_Intake]]/Table1[[#This Row],[Net_Daily_Intake]]</f>
        <v>4</v>
      </c>
      <c r="P711" t="str">
        <f>IF(Table1[[#This Row],[Change_in_Net_Daily_Intake]]&gt;0,"Sustained Positive","Negative")</f>
        <v>Sustained Positive</v>
      </c>
      <c r="Q711" s="1">
        <f>(Table1[[#This Row],[Total_System_Load]]-Table1[[#This Row],[Total_Children_Under_Care]])/Table1[[#This Row],[Total_Children_Under_Care]]*100</f>
        <v>1.4894497310715764</v>
      </c>
      <c r="R711" s="1">
        <f>(Table1[[#This Row],[Children_discharged _from_HHS_ Care]]/Table1[[#This Row],[Children_transferred_out_of_CBP_custody]])</f>
        <v>0.92307692307692313</v>
      </c>
    </row>
    <row r="712" spans="1:18" x14ac:dyDescent="0.3">
      <c r="A712">
        <v>711</v>
      </c>
      <c r="B712" s="7">
        <v>45999</v>
      </c>
      <c r="C712" s="5">
        <v>9</v>
      </c>
      <c r="D712" s="5">
        <v>27</v>
      </c>
      <c r="E712" s="5">
        <v>9</v>
      </c>
      <c r="F712" s="5">
        <v>2440</v>
      </c>
      <c r="G712" s="5">
        <v>4</v>
      </c>
      <c r="H712" t="str">
        <f t="shared" si="56"/>
        <v>Valid</v>
      </c>
      <c r="I712" t="str">
        <f t="shared" si="57"/>
        <v>Valid</v>
      </c>
      <c r="J712" s="5">
        <f t="shared" si="58"/>
        <v>2436</v>
      </c>
      <c r="K712" s="5">
        <f t="shared" si="59"/>
        <v>2467</v>
      </c>
      <c r="L712" s="5">
        <f>IF(Table1[[#This Row],[Total_System_Load]]&gt;80%*AVERAGE(Table1[Total_System_Load]),Table1[[#This Row],[Total_System_Load]]-Table1[[#This Row],[Total_Children_Under_Care]],0)</f>
        <v>0</v>
      </c>
      <c r="M712" s="5">
        <f t="shared" si="55"/>
        <v>5</v>
      </c>
      <c r="N712" s="5">
        <f>M713-Table1[[#This Row],[Net_Daily_Intake]]</f>
        <v>-6</v>
      </c>
      <c r="O712" s="5">
        <f>M713-Table1[[#This Row],[Net_Daily_Intake]]/Table1[[#This Row],[Net_Daily_Intake]]</f>
        <v>-2</v>
      </c>
      <c r="P712" t="str">
        <f>IF(Table1[[#This Row],[Change_in_Net_Daily_Intake]]&gt;0,"Sustained Positive","Negative")</f>
        <v>Negative</v>
      </c>
      <c r="Q712" s="1">
        <f>(Table1[[#This Row],[Total_System_Load]]-Table1[[#This Row],[Total_Children_Under_Care]])/Table1[[#This Row],[Total_Children_Under_Care]]*100</f>
        <v>1.2725779967159279</v>
      </c>
      <c r="R712" s="1">
        <f>(Table1[[#This Row],[Children_discharged _from_HHS_ Care]]/Table1[[#This Row],[Children_transferred_out_of_CBP_custody]])</f>
        <v>0.44444444444444442</v>
      </c>
    </row>
    <row r="713" spans="1:18" x14ac:dyDescent="0.3">
      <c r="A713">
        <v>712</v>
      </c>
      <c r="B713" s="7">
        <v>46000</v>
      </c>
      <c r="C713" s="5">
        <v>4</v>
      </c>
      <c r="D713" s="5">
        <v>30</v>
      </c>
      <c r="E713" s="5">
        <v>7</v>
      </c>
      <c r="F713" s="5">
        <v>2443</v>
      </c>
      <c r="G713" s="5">
        <v>8</v>
      </c>
      <c r="H713" t="str">
        <f t="shared" si="56"/>
        <v>Valid</v>
      </c>
      <c r="I713" t="str">
        <f t="shared" si="57"/>
        <v>Valid</v>
      </c>
      <c r="J713" s="5">
        <f t="shared" si="58"/>
        <v>2435</v>
      </c>
      <c r="K713" s="5">
        <f t="shared" si="59"/>
        <v>2473</v>
      </c>
      <c r="L713" s="5">
        <f>IF(Table1[[#This Row],[Total_System_Load]]&gt;80%*AVERAGE(Table1[Total_System_Load]),Table1[[#This Row],[Total_System_Load]]-Table1[[#This Row],[Total_Children_Under_Care]],0)</f>
        <v>0</v>
      </c>
      <c r="M713" s="5">
        <f t="shared" si="55"/>
        <v>-1</v>
      </c>
      <c r="N713" s="5">
        <f>M714-Table1[[#This Row],[Net_Daily_Intake]]</f>
        <v>-3</v>
      </c>
      <c r="O713" s="5">
        <f>M714-Table1[[#This Row],[Net_Daily_Intake]]/Table1[[#This Row],[Net_Daily_Intake]]</f>
        <v>-5</v>
      </c>
      <c r="P713" t="str">
        <f>IF(Table1[[#This Row],[Change_in_Net_Daily_Intake]]&gt;0,"Sustained Positive","Negative")</f>
        <v>Negative</v>
      </c>
      <c r="Q713" s="1">
        <f>(Table1[[#This Row],[Total_System_Load]]-Table1[[#This Row],[Total_Children_Under_Care]])/Table1[[#This Row],[Total_Children_Under_Care]]*100</f>
        <v>1.5605749486652978</v>
      </c>
      <c r="R713" s="1">
        <f>(Table1[[#This Row],[Children_discharged _from_HHS_ Care]]/Table1[[#This Row],[Children_transferred_out_of_CBP_custody]])</f>
        <v>1.1428571428571428</v>
      </c>
    </row>
    <row r="714" spans="1:18" x14ac:dyDescent="0.3">
      <c r="A714">
        <v>713</v>
      </c>
      <c r="B714" s="7">
        <v>46001</v>
      </c>
      <c r="C714" s="5">
        <v>10</v>
      </c>
      <c r="D714" s="5">
        <v>54</v>
      </c>
      <c r="E714" s="5">
        <v>5</v>
      </c>
      <c r="F714" s="5">
        <v>2439</v>
      </c>
      <c r="G714" s="5">
        <v>9</v>
      </c>
      <c r="H714" t="str">
        <f t="shared" si="56"/>
        <v>Valid</v>
      </c>
      <c r="I714" t="str">
        <f t="shared" si="57"/>
        <v>Valid</v>
      </c>
      <c r="J714" s="5">
        <f t="shared" si="58"/>
        <v>2430</v>
      </c>
      <c r="K714" s="5">
        <f t="shared" si="59"/>
        <v>2493</v>
      </c>
      <c r="L714" s="5">
        <f>IF(Table1[[#This Row],[Total_System_Load]]&gt;80%*AVERAGE(Table1[Total_System_Load]),Table1[[#This Row],[Total_System_Load]]-Table1[[#This Row],[Total_Children_Under_Care]],0)</f>
        <v>0</v>
      </c>
      <c r="M714" s="5">
        <f t="shared" si="55"/>
        <v>-4</v>
      </c>
      <c r="N714" s="5">
        <f>M715-Table1[[#This Row],[Net_Daily_Intake]]</f>
        <v>3</v>
      </c>
      <c r="O714" s="5">
        <f>M715-Table1[[#This Row],[Net_Daily_Intake]]/Table1[[#This Row],[Net_Daily_Intake]]</f>
        <v>-2</v>
      </c>
      <c r="P714" t="str">
        <f>IF(Table1[[#This Row],[Change_in_Net_Daily_Intake]]&gt;0,"Sustained Positive","Negative")</f>
        <v>Sustained Positive</v>
      </c>
      <c r="Q714" s="1">
        <f>(Table1[[#This Row],[Total_System_Load]]-Table1[[#This Row],[Total_Children_Under_Care]])/Table1[[#This Row],[Total_Children_Under_Care]]*100</f>
        <v>2.5925925925925926</v>
      </c>
      <c r="R714" s="1">
        <f>(Table1[[#This Row],[Children_discharged _from_HHS_ Care]]/Table1[[#This Row],[Children_transferred_out_of_CBP_custody]])</f>
        <v>1.8</v>
      </c>
    </row>
    <row r="715" spans="1:18" x14ac:dyDescent="0.3">
      <c r="A715">
        <v>714</v>
      </c>
      <c r="B715" s="7">
        <v>46002</v>
      </c>
      <c r="C715" s="5">
        <v>7</v>
      </c>
      <c r="D715" s="5">
        <v>47</v>
      </c>
      <c r="E715" s="5">
        <v>9</v>
      </c>
      <c r="F715" s="5">
        <v>2437</v>
      </c>
      <c r="G715" s="5">
        <v>10</v>
      </c>
      <c r="H715" t="str">
        <f t="shared" si="56"/>
        <v>Valid</v>
      </c>
      <c r="I715" t="str">
        <f t="shared" si="57"/>
        <v>Valid</v>
      </c>
      <c r="J715" s="5">
        <f t="shared" si="58"/>
        <v>2427</v>
      </c>
      <c r="K715" s="5">
        <f t="shared" si="59"/>
        <v>2484</v>
      </c>
      <c r="L715" s="5">
        <f>IF(Table1[[#This Row],[Total_System_Load]]&gt;80%*AVERAGE(Table1[Total_System_Load]),Table1[[#This Row],[Total_System_Load]]-Table1[[#This Row],[Total_Children_Under_Care]],0)</f>
        <v>0</v>
      </c>
      <c r="M715" s="5">
        <f t="shared" si="55"/>
        <v>-1</v>
      </c>
      <c r="N715" s="5">
        <f>M716-Table1[[#This Row],[Net_Daily_Intake]]</f>
        <v>-3</v>
      </c>
      <c r="O715" s="5">
        <f>M716-Table1[[#This Row],[Net_Daily_Intake]]/Table1[[#This Row],[Net_Daily_Intake]]</f>
        <v>-5</v>
      </c>
      <c r="P715" t="str">
        <f>IF(Table1[[#This Row],[Change_in_Net_Daily_Intake]]&gt;0,"Sustained Positive","Negative")</f>
        <v>Negative</v>
      </c>
      <c r="Q715" s="1">
        <f>(Table1[[#This Row],[Total_System_Load]]-Table1[[#This Row],[Total_Children_Under_Care]])/Table1[[#This Row],[Total_Children_Under_Care]]*100</f>
        <v>2.3485784919653896</v>
      </c>
      <c r="R715" s="1">
        <f>(Table1[[#This Row],[Children_discharged _from_HHS_ Care]]/Table1[[#This Row],[Children_transferred_out_of_CBP_custody]])</f>
        <v>1.1111111111111112</v>
      </c>
    </row>
    <row r="716" spans="1:18" x14ac:dyDescent="0.3">
      <c r="A716">
        <v>715</v>
      </c>
      <c r="B716" s="7">
        <v>46005</v>
      </c>
      <c r="C716" s="5">
        <v>8</v>
      </c>
      <c r="D716" s="5">
        <v>35</v>
      </c>
      <c r="E716" s="5">
        <v>4</v>
      </c>
      <c r="F716" s="5">
        <v>2462</v>
      </c>
      <c r="G716" s="5">
        <v>8</v>
      </c>
      <c r="H716" t="str">
        <f t="shared" si="56"/>
        <v>Valid</v>
      </c>
      <c r="I716" t="str">
        <f t="shared" si="57"/>
        <v>Valid</v>
      </c>
      <c r="J716" s="5">
        <f t="shared" si="58"/>
        <v>2454</v>
      </c>
      <c r="K716" s="5">
        <f t="shared" si="59"/>
        <v>2497</v>
      </c>
      <c r="L716" s="5">
        <f>IF(Table1[[#This Row],[Total_System_Load]]&gt;80%*AVERAGE(Table1[Total_System_Load]),Table1[[#This Row],[Total_System_Load]]-Table1[[#This Row],[Total_Children_Under_Care]],0)</f>
        <v>0</v>
      </c>
      <c r="M716" s="5">
        <f t="shared" si="55"/>
        <v>-4</v>
      </c>
      <c r="N716" s="5">
        <f>M717-Table1[[#This Row],[Net_Daily_Intake]]</f>
        <v>6</v>
      </c>
      <c r="O716" s="5">
        <f>M717-Table1[[#This Row],[Net_Daily_Intake]]/Table1[[#This Row],[Net_Daily_Intake]]</f>
        <v>1</v>
      </c>
      <c r="P716" t="str">
        <f>IF(Table1[[#This Row],[Change_in_Net_Daily_Intake]]&gt;0,"Sustained Positive","Negative")</f>
        <v>Sustained Positive</v>
      </c>
      <c r="Q716" s="1">
        <f>(Table1[[#This Row],[Total_System_Load]]-Table1[[#This Row],[Total_Children_Under_Care]])/Table1[[#This Row],[Total_Children_Under_Care]]*100</f>
        <v>1.7522412387938062</v>
      </c>
      <c r="R716" s="1">
        <f>(Table1[[#This Row],[Children_discharged _from_HHS_ Care]]/Table1[[#This Row],[Children_transferred_out_of_CBP_custody]])</f>
        <v>2</v>
      </c>
    </row>
    <row r="717" spans="1:18" x14ac:dyDescent="0.3">
      <c r="A717">
        <v>716</v>
      </c>
      <c r="B717" s="7">
        <v>46006</v>
      </c>
      <c r="C717" s="5">
        <v>11</v>
      </c>
      <c r="D717" s="5">
        <v>42</v>
      </c>
      <c r="E717" s="5">
        <v>9</v>
      </c>
      <c r="F717" s="5">
        <v>2470</v>
      </c>
      <c r="G717" s="5">
        <v>7</v>
      </c>
      <c r="H717" t="str">
        <f t="shared" si="56"/>
        <v>Valid</v>
      </c>
      <c r="I717" t="str">
        <f t="shared" si="57"/>
        <v>Valid</v>
      </c>
      <c r="J717" s="5">
        <f t="shared" si="58"/>
        <v>2463</v>
      </c>
      <c r="K717" s="5">
        <f t="shared" si="59"/>
        <v>2512</v>
      </c>
      <c r="L717" s="5">
        <f>IF(Table1[[#This Row],[Total_System_Load]]&gt;80%*AVERAGE(Table1[Total_System_Load]),Table1[[#This Row],[Total_System_Load]]-Table1[[#This Row],[Total_Children_Under_Care]],0)</f>
        <v>0</v>
      </c>
      <c r="M717" s="5">
        <f t="shared" si="55"/>
        <v>2</v>
      </c>
      <c r="N717" s="5">
        <f>M718-Table1[[#This Row],[Net_Daily_Intake]]</f>
        <v>4</v>
      </c>
      <c r="O717" s="5">
        <f>M718-Table1[[#This Row],[Net_Daily_Intake]]/Table1[[#This Row],[Net_Daily_Intake]]</f>
        <v>5</v>
      </c>
      <c r="P717" t="str">
        <f>IF(Table1[[#This Row],[Change_in_Net_Daily_Intake]]&gt;0,"Sustained Positive","Negative")</f>
        <v>Sustained Positive</v>
      </c>
      <c r="Q717" s="1">
        <f>(Table1[[#This Row],[Total_System_Load]]-Table1[[#This Row],[Total_Children_Under_Care]])/Table1[[#This Row],[Total_Children_Under_Care]]*100</f>
        <v>1.9894437677628909</v>
      </c>
      <c r="R717" s="1">
        <f>(Table1[[#This Row],[Children_discharged _from_HHS_ Care]]/Table1[[#This Row],[Children_transferred_out_of_CBP_custody]])</f>
        <v>0.77777777777777779</v>
      </c>
    </row>
    <row r="718" spans="1:18" x14ac:dyDescent="0.3">
      <c r="A718">
        <v>717</v>
      </c>
      <c r="B718" s="7">
        <v>46007</v>
      </c>
      <c r="C718" s="5">
        <v>8</v>
      </c>
      <c r="D718" s="5">
        <v>54</v>
      </c>
      <c r="E718" s="5">
        <v>15</v>
      </c>
      <c r="F718" s="5">
        <v>2468</v>
      </c>
      <c r="G718" s="5">
        <v>9</v>
      </c>
      <c r="H718" t="str">
        <f t="shared" si="56"/>
        <v>Valid</v>
      </c>
      <c r="I718" t="str">
        <f t="shared" si="57"/>
        <v>Valid</v>
      </c>
      <c r="J718" s="5">
        <f t="shared" si="58"/>
        <v>2459</v>
      </c>
      <c r="K718" s="5">
        <f t="shared" si="59"/>
        <v>2522</v>
      </c>
      <c r="L718" s="5">
        <f>IF(Table1[[#This Row],[Total_System_Load]]&gt;80%*AVERAGE(Table1[Total_System_Load]),Table1[[#This Row],[Total_System_Load]]-Table1[[#This Row],[Total_Children_Under_Care]],0)</f>
        <v>0</v>
      </c>
      <c r="M718" s="5">
        <f t="shared" si="55"/>
        <v>6</v>
      </c>
      <c r="N718" s="5">
        <f>M719-Table1[[#This Row],[Net_Daily_Intake]]</f>
        <v>-5</v>
      </c>
      <c r="O718" s="5">
        <f>M719-Table1[[#This Row],[Net_Daily_Intake]]/Table1[[#This Row],[Net_Daily_Intake]]</f>
        <v>0</v>
      </c>
      <c r="P718" t="str">
        <f>IF(Table1[[#This Row],[Change_in_Net_Daily_Intake]]&gt;0,"Sustained Positive","Negative")</f>
        <v>Negative</v>
      </c>
      <c r="Q718" s="1">
        <f>(Table1[[#This Row],[Total_System_Load]]-Table1[[#This Row],[Total_Children_Under_Care]])/Table1[[#This Row],[Total_Children_Under_Care]]*100</f>
        <v>2.5620170801138675</v>
      </c>
      <c r="R718" s="1">
        <f>(Table1[[#This Row],[Children_discharged _from_HHS_ Care]]/Table1[[#This Row],[Children_transferred_out_of_CBP_custody]])</f>
        <v>0.6</v>
      </c>
    </row>
    <row r="719" spans="1:18" x14ac:dyDescent="0.3">
      <c r="A719">
        <v>718</v>
      </c>
      <c r="B719" s="7">
        <v>46008</v>
      </c>
      <c r="C719" s="5">
        <v>7</v>
      </c>
      <c r="D719" s="5">
        <v>31</v>
      </c>
      <c r="E719" s="5">
        <v>11</v>
      </c>
      <c r="F719" s="5">
        <v>2481</v>
      </c>
      <c r="G719" s="5">
        <v>10</v>
      </c>
      <c r="H719" t="str">
        <f t="shared" si="56"/>
        <v>Valid</v>
      </c>
      <c r="I719" t="str">
        <f t="shared" si="57"/>
        <v>Valid</v>
      </c>
      <c r="J719" s="5">
        <f t="shared" si="58"/>
        <v>2471</v>
      </c>
      <c r="K719" s="5">
        <f t="shared" si="59"/>
        <v>2512</v>
      </c>
      <c r="L719" s="5">
        <f>IF(Table1[[#This Row],[Total_System_Load]]&gt;80%*AVERAGE(Table1[Total_System_Load]),Table1[[#This Row],[Total_System_Load]]-Table1[[#This Row],[Total_Children_Under_Care]],0)</f>
        <v>0</v>
      </c>
      <c r="M719" s="5">
        <f t="shared" si="55"/>
        <v>1</v>
      </c>
      <c r="N719" s="5">
        <f>M720-Table1[[#This Row],[Net_Daily_Intake]]</f>
        <v>-11</v>
      </c>
      <c r="O719" s="5">
        <f>M720-Table1[[#This Row],[Net_Daily_Intake]]/Table1[[#This Row],[Net_Daily_Intake]]</f>
        <v>-11</v>
      </c>
      <c r="P719" t="str">
        <f>IF(Table1[[#This Row],[Change_in_Net_Daily_Intake]]&gt;0,"Sustained Positive","Negative")</f>
        <v>Negative</v>
      </c>
      <c r="Q719" s="1">
        <f>(Table1[[#This Row],[Total_System_Load]]-Table1[[#This Row],[Total_Children_Under_Care]])/Table1[[#This Row],[Total_Children_Under_Care]]*100</f>
        <v>1.6592472683124242</v>
      </c>
      <c r="R719" s="1">
        <f>(Table1[[#This Row],[Children_discharged _from_HHS_ Care]]/Table1[[#This Row],[Children_transferred_out_of_CBP_custody]])</f>
        <v>0.90909090909090906</v>
      </c>
    </row>
    <row r="720" spans="1:18" x14ac:dyDescent="0.3">
      <c r="A720">
        <v>719</v>
      </c>
      <c r="B720" s="7">
        <v>46009</v>
      </c>
      <c r="C720" s="5">
        <v>11</v>
      </c>
      <c r="D720" s="5">
        <v>50</v>
      </c>
      <c r="E720" s="5">
        <v>6</v>
      </c>
      <c r="F720" s="5">
        <v>2472</v>
      </c>
      <c r="G720" s="5">
        <v>16</v>
      </c>
      <c r="H720" t="str">
        <f t="shared" si="56"/>
        <v>Valid</v>
      </c>
      <c r="I720" t="str">
        <f t="shared" si="57"/>
        <v>Valid</v>
      </c>
      <c r="J720" s="5">
        <f t="shared" si="58"/>
        <v>2456</v>
      </c>
      <c r="K720" s="5">
        <f t="shared" si="59"/>
        <v>2522</v>
      </c>
      <c r="L720" s="5">
        <f>IF(Table1[[#This Row],[Total_System_Load]]&gt;80%*AVERAGE(Table1[Total_System_Load]),Table1[[#This Row],[Total_System_Load]]-Table1[[#This Row],[Total_Children_Under_Care]],0)</f>
        <v>0</v>
      </c>
      <c r="M720" s="5">
        <f t="shared" si="55"/>
        <v>-10</v>
      </c>
      <c r="N720" s="5">
        <f>M721-Table1[[#This Row],[Net_Daily_Intake]]</f>
        <v>7</v>
      </c>
      <c r="O720" s="5">
        <f>M721-Table1[[#This Row],[Net_Daily_Intake]]/Table1[[#This Row],[Net_Daily_Intake]]</f>
        <v>-4</v>
      </c>
      <c r="P720" t="str">
        <f>IF(Table1[[#This Row],[Change_in_Net_Daily_Intake]]&gt;0,"Sustained Positive","Negative")</f>
        <v>Sustained Positive</v>
      </c>
      <c r="Q720" s="1">
        <f>(Table1[[#This Row],[Total_System_Load]]-Table1[[#This Row],[Total_Children_Under_Care]])/Table1[[#This Row],[Total_Children_Under_Care]]*100</f>
        <v>2.6872964169381111</v>
      </c>
      <c r="R720" s="1">
        <f>(Table1[[#This Row],[Children_discharged _from_HHS_ Care]]/Table1[[#This Row],[Children_transferred_out_of_CBP_custody]])</f>
        <v>2.6666666666666665</v>
      </c>
    </row>
    <row r="721" spans="1:18" x14ac:dyDescent="0.3">
      <c r="A721">
        <v>720</v>
      </c>
      <c r="B721" s="7">
        <v>46012</v>
      </c>
      <c r="C721" s="5">
        <v>6</v>
      </c>
      <c r="D721" s="5">
        <v>18</v>
      </c>
      <c r="E721" s="5">
        <v>11</v>
      </c>
      <c r="F721" s="5">
        <v>2484</v>
      </c>
      <c r="G721" s="5">
        <v>14</v>
      </c>
      <c r="H721" t="str">
        <f t="shared" si="56"/>
        <v>Valid</v>
      </c>
      <c r="I721" t="str">
        <f t="shared" si="57"/>
        <v>Valid</v>
      </c>
      <c r="J721" s="5">
        <f t="shared" si="58"/>
        <v>2470</v>
      </c>
      <c r="K721" s="5">
        <f t="shared" si="59"/>
        <v>2502</v>
      </c>
      <c r="L721" s="5">
        <f>IF(Table1[[#This Row],[Total_System_Load]]&gt;80%*AVERAGE(Table1[Total_System_Load]),Table1[[#This Row],[Total_System_Load]]-Table1[[#This Row],[Total_Children_Under_Care]],0)</f>
        <v>0</v>
      </c>
      <c r="M721" s="5">
        <f t="shared" si="55"/>
        <v>-3</v>
      </c>
      <c r="N721" s="5">
        <f>M722-Table1[[#This Row],[Net_Daily_Intake]]</f>
        <v>3</v>
      </c>
      <c r="O721" s="5">
        <f>M722-Table1[[#This Row],[Net_Daily_Intake]]/Table1[[#This Row],[Net_Daily_Intake]]</f>
        <v>-1</v>
      </c>
      <c r="P721" t="str">
        <f>IF(Table1[[#This Row],[Change_in_Net_Daily_Intake]]&gt;0,"Sustained Positive","Negative")</f>
        <v>Sustained Positive</v>
      </c>
      <c r="Q721" s="1">
        <f>(Table1[[#This Row],[Total_System_Load]]-Table1[[#This Row],[Total_Children_Under_Care]])/Table1[[#This Row],[Total_Children_Under_Care]]*100</f>
        <v>1.2955465587044535</v>
      </c>
      <c r="R721" s="1">
        <f>(Table1[[#This Row],[Children_discharged _from_HHS_ Care]]/Table1[[#This Row],[Children_transferred_out_of_CBP_custody]])</f>
        <v>1.2727272727272727</v>
      </c>
    </row>
  </sheetData>
  <sortState xmlns:xlrd2="http://schemas.microsoft.com/office/spreadsheetml/2017/richdata2" ref="B2:G721">
    <sortCondition ref="B2:B721"/>
  </sortState>
  <phoneticPr fontId="18" type="noConversion"/>
  <conditionalFormatting sqref="H2">
    <cfRule type="containsText" dxfId="14" priority="19" operator="containsText" text="In">
      <formula>NOT(ISERROR(SEARCH("In",H2)))</formula>
    </cfRule>
  </conditionalFormatting>
  <conditionalFormatting sqref="H2:H721">
    <cfRule type="cellIs" dxfId="13" priority="17" operator="equal">
      <formula>"valid"</formula>
    </cfRule>
    <cfRule type="containsText" dxfId="12" priority="18" operator="containsText" text="Invalid">
      <formula>NOT(ISERROR(SEARCH("Invalid",H2)))</formula>
    </cfRule>
  </conditionalFormatting>
  <conditionalFormatting sqref="I2:I721">
    <cfRule type="containsText" dxfId="11" priority="16" operator="containsText" text="val">
      <formula>NOT(ISERROR(SEARCH("val",I2)))</formula>
    </cfRule>
  </conditionalFormatting>
  <conditionalFormatting sqref="L2:L721">
    <cfRule type="expression" priority="1">
      <formula>$K$2:$K$721&gt;80%*AVERAGE($K$2:$K$721)</formula>
    </cfRule>
    <cfRule type="expression" priority="2">
      <formula>$K$2&gt;80%*AVERAGE($K$2)</formula>
    </cfRule>
  </conditionalFormatting>
  <conditionalFormatting sqref="M2:M721">
    <cfRule type="cellIs" dxfId="10" priority="13" operator="equal">
      <formula>0</formula>
    </cfRule>
    <cfRule type="cellIs" dxfId="9" priority="14" operator="lessThan">
      <formula>0</formula>
    </cfRule>
    <cfRule type="cellIs" dxfId="8" priority="15" operator="greaterThan">
      <formula>0</formula>
    </cfRule>
  </conditionalFormatting>
  <conditionalFormatting sqref="N2:N721">
    <cfRule type="cellIs" dxfId="7" priority="10" operator="equal">
      <formula>0</formula>
    </cfRule>
    <cfRule type="cellIs" dxfId="6" priority="11" operator="lessThan">
      <formula>0</formula>
    </cfRule>
    <cfRule type="cellIs" dxfId="5" priority="12" operator="greaterThan">
      <formula>0</formula>
    </cfRule>
  </conditionalFormatting>
  <conditionalFormatting sqref="O2:O721">
    <cfRule type="cellIs" dxfId="4" priority="7" operator="equal">
      <formula>0</formula>
    </cfRule>
    <cfRule type="cellIs" dxfId="3" priority="8" operator="greaterThan">
      <formula>0</formula>
    </cfRule>
    <cfRule type="cellIs" dxfId="2" priority="9" operator="lessThan">
      <formula>0</formula>
    </cfRule>
  </conditionalFormatting>
  <conditionalFormatting sqref="P2:P721">
    <cfRule type="cellIs" dxfId="1" priority="5" operator="equal">
      <formula>"negative"</formula>
    </cfRule>
    <cfRule type="containsText" dxfId="0" priority="6" operator="containsText" text="pos">
      <formula>NOT(ISERROR(SEARCH("pos",P2)))</formula>
    </cfRule>
  </conditionalFormatting>
  <dataValidations count="2">
    <dataValidation type="custom" allowBlank="1" showInputMessage="1" showErrorMessage="1" sqref="F1:I1 A1:C1" xr:uid="{77C0A7AF-F0CC-4AC5-BCBB-2D64CC7748D3}">
      <formula1>A1048569&lt;=XFD1048569</formula1>
    </dataValidation>
    <dataValidation type="custom" allowBlank="1" showInputMessage="1" showErrorMessage="1" sqref="E1" xr:uid="{57B4961F-2462-4715-A8A0-2C5CD6107C99}">
      <formula1>E2:E721&lt;=D2:D721</formula1>
    </dataValidation>
  </dataValidations>
  <pageMargins left="0.7" right="0.7" top="0.75" bottom="0.75" header="0.3" footer="0.3"/>
  <pageSetup orientation="portrait" r:id="rId1"/>
  <ignoredErrors>
    <ignoredError sqref="O572 O579 O655 O646 O640 O638 O632 R535 R609 R61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HHS_Unaccompanied_Alien_Childre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Giriranjan Jadhav</cp:lastModifiedBy>
  <dcterms:created xsi:type="dcterms:W3CDTF">2026-03-28T05:34:53Z</dcterms:created>
  <dcterms:modified xsi:type="dcterms:W3CDTF">2026-03-30T09:37:40Z</dcterms:modified>
</cp:coreProperties>
</file>